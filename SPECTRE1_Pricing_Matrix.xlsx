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fig Summary" sheetId="2" state="visible" r:id="rId2"/>
    <sheet name="Node &amp; SSU Pricing" sheetId="3" state="visible" r:id="rId3"/>
    <sheet name="Media Options" sheetId="4" state="visible" r:id="rId4"/>
    <sheet name="Network Adapters" sheetId="5" state="visible" r:id="rId5"/>
    <sheet name="TDS Pricing" sheetId="6" state="visible" r:id="rId6"/>
    <sheet name="Support &amp; Maintenance" sheetId="7" state="visible" r:id="rId7"/>
    <sheet name="Services &amp; Deliverables" sheetId="8" state="visible" r:id="rId8"/>
    <sheet name="Lead Time &amp; Risk" sheetId="9" state="visible" r:id="rId9"/>
    <sheet name="Compliance 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;(#,##0.0);-"/>
    <numFmt numFmtId="166" formatCode="$#,##0;($#,##0);-"/>
    <numFmt numFmtId="167" formatCode="#,##0;(#,##0);-"/>
    <numFmt numFmtId="168" formatCode="$#,##0.00;($#,##0.00);-"/>
  </numFmts>
  <fonts count="14">
    <font>
      <name val="Calibri"/>
      <family val="2"/>
      <color theme="1"/>
      <sz val="11"/>
      <scheme val="minor"/>
    </font>
    <font>
      <name val="Arial"/>
      <b val="1"/>
      <color rgb="001B1F1D"/>
      <sz val="16"/>
    </font>
    <font>
      <name val="Arial"/>
      <color rgb="004A514D"/>
      <sz val="9"/>
    </font>
    <font>
      <name val="Arial"/>
      <b val="1"/>
      <color rgb="008A6D0B"/>
      <sz val="11"/>
    </font>
    <font>
      <name val="Arial"/>
      <b val="1"/>
      <color rgb="001B1F1D"/>
      <sz val="10"/>
    </font>
    <font>
      <name val="Arial"/>
      <color rgb="001B1F1D"/>
      <sz val="10"/>
    </font>
    <font>
      <name val="Arial"/>
      <b val="1"/>
      <color rgb="001B1F1D"/>
      <sz val="14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1B1F1D"/>
      <sz val="11"/>
    </font>
    <font>
      <name val="Arial"/>
      <i val="1"/>
      <color rgb="00808080"/>
      <sz val="10"/>
    </font>
    <font>
      <name val="Arial"/>
      <b val="1"/>
      <sz val="11"/>
    </font>
    <font>
      <name val="Arial"/>
      <b val="1"/>
      <color rgb="008A6D0B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3532"/>
      </patternFill>
    </fill>
    <fill>
      <patternFill patternType="solid">
        <fgColor rgb="00F2F2EF"/>
      </patternFill>
    </fill>
    <fill>
      <patternFill patternType="solid">
        <fgColor rgb="00DDE0DA"/>
      </patternFill>
    </fill>
  </fills>
  <borders count="2">
    <border>
      <left/>
      <right/>
      <top/>
      <bottom/>
      <diagonal/>
    </border>
    <border>
      <left style="thin">
        <color rgb="00C9CCC5"/>
      </left>
      <right style="thin">
        <color rgb="00C9CCC5"/>
      </right>
      <top style="thin">
        <color rgb="00C9CCC5"/>
      </top>
      <bottom style="thin">
        <color rgb="00C9CCC5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0" borderId="1" pivotButton="0" quotePrefix="0" xfId="0"/>
    <xf numFmtId="0" fontId="8" fillId="2" borderId="1" pivotButton="0" quotePrefix="0" xfId="0"/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164" fontId="5" fillId="4" borderId="1" pivotButton="0" quotePrefix="0" xfId="0"/>
    <xf numFmtId="165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8" fillId="2" borderId="1" pivotButton="0" quotePrefix="0" xfId="0"/>
    <xf numFmtId="166" fontId="9" fillId="0" borderId="1" pivotButton="0" quotePrefix="0" xfId="0"/>
    <xf numFmtId="0" fontId="10" fillId="5" borderId="1" pivotButton="0" quotePrefix="0" xfId="0"/>
    <xf numFmtId="166" fontId="10" fillId="5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11" fillId="0" borderId="1" pivotButton="0" quotePrefix="0" xfId="0"/>
    <xf numFmtId="166" fontId="11" fillId="0" borderId="1" pivotButton="0" quotePrefix="0" xfId="0"/>
    <xf numFmtId="166" fontId="11" fillId="4" borderId="1" pivotButton="0" quotePrefix="0" xfId="0"/>
    <xf numFmtId="167" fontId="11" fillId="4" borderId="1" pivotButton="0" quotePrefix="0" xfId="0"/>
    <xf numFmtId="165" fontId="11" fillId="4" borderId="1" pivotButton="0" quotePrefix="0" xfId="0"/>
    <xf numFmtId="166" fontId="5" fillId="4" borderId="1" pivotButton="0" quotePrefix="0" xfId="0"/>
    <xf numFmtId="167" fontId="5" fillId="4" borderId="1" pivotButton="0" quotePrefix="0" xfId="0"/>
    <xf numFmtId="0" fontId="12" fillId="0" borderId="0" pivotButton="0" quotePrefix="0" xfId="0"/>
    <xf numFmtId="166" fontId="12" fillId="5" borderId="1" pivotButton="0" quotePrefix="0" xfId="0"/>
    <xf numFmtId="167" fontId="12" fillId="5" borderId="1" pivotButton="0" quotePrefix="0" xfId="0"/>
    <xf numFmtId="165" fontId="12" fillId="5" borderId="1" pivotButton="0" quotePrefix="0" xfId="0"/>
    <xf numFmtId="168" fontId="11" fillId="4" borderId="1" pivotButton="0" quotePrefix="0" xfId="0"/>
    <xf numFmtId="0" fontId="11" fillId="4" borderId="1" applyAlignment="1" pivotButton="0" quotePrefix="0" xfId="0">
      <alignment horizontal="center"/>
    </xf>
    <xf numFmtId="168" fontId="5" fillId="4" borderId="1" pivotButton="0" quotePrefix="0" xfId="0"/>
    <xf numFmtId="0" fontId="4" fillId="4" borderId="1" applyAlignment="1" pivotButton="0" quotePrefix="0" xfId="0">
      <alignment horizontal="center"/>
    </xf>
    <xf numFmtId="166" fontId="0" fillId="4" borderId="1" pivotButton="0" quotePrefix="0" xfId="0"/>
    <xf numFmtId="0" fontId="2" fillId="0" borderId="1" applyAlignment="1" pivotButton="0" quotePrefix="0" xfId="0">
      <alignment vertical="top" wrapText="1"/>
    </xf>
    <xf numFmtId="0" fontId="13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6" customWidth="1" min="3" max="3"/>
  </cols>
  <sheetData>
    <row r="1">
      <c r="B1" s="1" t="inlineStr">
        <is>
          <t>SPECTRE-1 SCRATCH STORAGE — PRICING &amp; COMPLIANCE MATRIX</t>
        </is>
      </c>
    </row>
    <row r="2">
      <c r="B2" s="2" t="inlineStr">
        <is>
          <t>ORNL / UT-Battelle, LLC  ·  Attachment C Technical Requirements v0.4 (May 2026)  ·  Bldg 5300 DC-1N</t>
        </is>
      </c>
    </row>
    <row r="5">
      <c r="B5" s="3" t="inlineStr">
        <is>
          <t>HOW TO USE THIS WORKBOOK</t>
        </is>
      </c>
    </row>
    <row r="6">
      <c r="A6" s="4" t="n"/>
      <c r="B6" s="5" t="inlineStr">
        <is>
          <t>Yellow cells</t>
        </is>
      </c>
      <c r="C6" s="6" t="inlineStr">
        <is>
          <t>Fill these in. Everything else is a formula, a label, or a pre-populated requirement — do not overwrite.</t>
        </is>
      </c>
    </row>
    <row r="7">
      <c r="B7" s="5" t="inlineStr">
        <is>
          <t>Blue text</t>
        </is>
      </c>
      <c r="C7" s="6" t="inlineStr">
        <is>
          <t>A hardcoded input you entered.</t>
        </is>
      </c>
    </row>
    <row r="8">
      <c r="B8" s="5" t="inlineStr">
        <is>
          <t>Black text</t>
        </is>
      </c>
      <c r="C8" s="6" t="inlineStr">
        <is>
          <t>A formula. It recalculates from your inputs.</t>
        </is>
      </c>
    </row>
    <row r="9">
      <c r="B9" s="5" t="inlineStr">
        <is>
          <t>Grey italic row</t>
        </is>
      </c>
      <c r="C9" s="6" t="inlineStr">
        <is>
          <t>Example row showing the expected format. Delete or overwrite before submission.</t>
        </is>
      </c>
    </row>
    <row r="11">
      <c r="B11" s="3" t="inlineStr">
        <is>
          <t>WHAT THE RFP ASKS FOR</t>
        </is>
      </c>
    </row>
    <row r="12">
      <c r="B12" s="5" t="inlineStr">
        <is>
          <t>§1 Pricing breakouts</t>
        </is>
      </c>
      <c r="C12" s="6" t="inlineStr">
        <is>
          <t>"Pricing breakouts for all offered node types and relevant components." Use the 'Node &amp; SSU Pricing' tab.</t>
        </is>
      </c>
    </row>
    <row r="13">
      <c r="B13" s="5" t="inlineStr">
        <is>
          <t>§1 Three media options</t>
        </is>
      </c>
      <c r="C13" s="6" t="inlineStr">
        <is>
          <t>All-HDD, all-Flash, and hybrid must each be priced. Tag every line with its Config on the pricing tabs.</t>
        </is>
      </c>
    </row>
    <row r="14">
      <c r="B14" s="5" t="inlineStr">
        <is>
          <t>§1 Adapter choice</t>
        </is>
      </c>
      <c r="C14" s="6" t="inlineStr">
        <is>
          <t>Price each high-speed network adapter option separately — see 'Network Adapters'.</t>
        </is>
      </c>
    </row>
    <row r="15">
      <c r="B15" s="5" t="inlineStr">
        <is>
          <t>§1 Media capacity choice</t>
        </is>
      </c>
      <c r="C15" s="6" t="inlineStr">
        <is>
          <t>Price each drive capacity/technology option separately — see 'Media Options'.</t>
        </is>
      </c>
    </row>
    <row r="16">
      <c r="B16" s="5" t="inlineStr">
        <is>
          <t>§1 Lead times</t>
        </is>
      </c>
      <c r="C16" s="6" t="inlineStr">
        <is>
          <t>The RFP explicitly wants part lead times so ORNL can trade scope against schedule. Fill the lead-time columns everywhere and summarize on 'Lead Time &amp; Risk'.</t>
        </is>
      </c>
    </row>
    <row r="17">
      <c r="B17" s="5" t="inlineStr">
        <is>
          <t>§3 Unmet requirements</t>
        </is>
      </c>
      <c r="C17" s="6" t="inlineStr">
        <is>
          <t>Any requirement not met must be identified with a discrepancy description, justification, and mitigation. Use the 'Compliance Matrix' tab.</t>
        </is>
      </c>
    </row>
    <row r="18">
      <c r="B18" s="5" t="inlineStr">
        <is>
          <t>§3.2 50% floorspace</t>
        </is>
      </c>
      <c r="C18" s="6" t="inlineStr">
        <is>
          <t>The base bid occupies 8 of 16 production racks. Remaining footprint is priced as SSU growth options.</t>
        </is>
      </c>
    </row>
    <row r="19">
      <c r="B19" s="5" t="inlineStr">
        <is>
          <t>§5 Support</t>
        </is>
      </c>
      <c r="C19" s="6" t="inlineStr">
        <is>
          <t>Four-year base, with separately priced 5th-year, 6th-year, and deferred-maintenance options — 'Support &amp; Maintenance' tab.</t>
        </is>
      </c>
    </row>
    <row r="20">
      <c r="B20" s="5" t="inlineStr">
        <is>
          <t>§5.5 Analyst</t>
        </is>
      </c>
      <c r="C20" s="6" t="inlineStr">
        <is>
          <t>The on-site System Software Analyst is separately priced and requires a DOE Q-clearance.</t>
        </is>
      </c>
    </row>
    <row r="22">
      <c r="B22" s="3" t="inlineStr">
        <is>
          <t>HARD CONSTRAINTS TO CHECK EVERY LINE AGAINST</t>
        </is>
      </c>
    </row>
    <row r="23">
      <c r="B23" s="5" t="inlineStr">
        <is>
          <t>Recording technology</t>
        </is>
      </c>
      <c r="C23" s="6" t="inlineStr">
        <is>
          <t>§3.2 bars HAMR, MAMR, and SMR. PMR/CMR only. Largest compliant drive is ~26 TB. Any HAMR/SMR line is non-compliant.</t>
        </is>
      </c>
    </row>
    <row r="24">
      <c r="B24" s="5" t="inlineStr">
        <is>
          <t>FIPS SED on all media</t>
        </is>
      </c>
      <c r="C24" s="6" t="inlineStr">
        <is>
          <t>§3.2 requires FIPS 140-2 certified OR FIPS 140-3 compliant self-encrypting drives for ALL storage media, flash and disk.</t>
        </is>
      </c>
    </row>
    <row r="25">
      <c r="B25" s="5" t="inlineStr">
        <is>
          <t>Power per rack</t>
        </is>
      </c>
      <c r="C25" s="6" t="inlineStr">
        <is>
          <t>60 A / 208 VAC 3-phase = 17.3 kW usable per feed. Dual-fed diverse, so design to survive on ONE side: 17.3 kW/rack.</t>
        </is>
      </c>
    </row>
    <row r="26">
      <c r="B26" s="5" t="inlineStr">
        <is>
          <t>Total power</t>
        </is>
      </c>
      <c r="C26" s="6" t="inlineStr">
        <is>
          <t>275 kW cap across production + cluster management + 5300-DC TDS. The 8-rack base bid budget is ~138 kW.</t>
        </is>
      </c>
    </row>
    <row r="27">
      <c r="B27" s="5" t="inlineStr">
        <is>
          <t>Rack envelope</t>
        </is>
      </c>
      <c r="C27" s="6" t="inlineStr">
        <is>
          <t>17 racks total (16 production + 1 TDS), 600 mm wide, 50U usable. Extra-deep (1300 mm) cabinets permitted.</t>
        </is>
      </c>
    </row>
    <row r="28">
      <c r="B28" s="5" t="inlineStr">
        <is>
          <t>TAA</t>
        </is>
      </c>
      <c r="C28" s="6" t="inlineStr">
        <is>
          <t>§3.1.6 requires TAA compliance on all hardware and software. HDD and NAND country-of-origin is the hard part — verify per part number.</t>
        </is>
      </c>
    </row>
    <row r="29">
      <c r="B29" s="5" t="inlineStr">
        <is>
          <t>Uniform DIMMs</t>
        </is>
      </c>
      <c r="C29" s="6" t="inlineStr">
        <is>
          <t>§3.2 requires ECC DIMMs of a uniform FRU type across the system. One DIMM part number everywhere.</t>
        </is>
      </c>
    </row>
    <row r="30">
      <c r="B30" s="5" t="inlineStr">
        <is>
          <t>Minimize node types</t>
        </is>
      </c>
      <c r="C30" s="6" t="inlineStr">
        <is>
          <t>§5.2 requires hot spare NODES of each type in the parts cache. Every additional node type multiplies spares cost.</t>
        </is>
      </c>
    </row>
    <row r="32">
      <c r="B32" s="3" t="inlineStr">
        <is>
          <t>TABS</t>
        </is>
      </c>
    </row>
    <row r="33">
      <c r="B33" s="5" t="inlineStr">
        <is>
          <t>Config Summary</t>
        </is>
      </c>
      <c r="C33" s="6" t="inlineStr">
        <is>
          <t>Roll-up of the three media configurations. Pulls from the pricing tabs — check it after every edit.</t>
        </is>
      </c>
    </row>
    <row r="34">
      <c r="B34" s="5" t="inlineStr">
        <is>
          <t>Node &amp; SSU Pricing</t>
        </is>
      </c>
      <c r="C34" s="6" t="inlineStr">
        <is>
          <t>Line-item pricing for every node and SSU type, tagged by config, with U, watts, lead time, TAA, FIPS.</t>
        </is>
      </c>
    </row>
    <row r="35">
      <c r="B35" s="5" t="inlineStr">
        <is>
          <t>Media Options</t>
        </is>
      </c>
      <c r="C35" s="6" t="inlineStr">
        <is>
          <t>Drive-by-drive options. Includes the recording-technology and FIPS/TAA compliance gates.</t>
        </is>
      </c>
    </row>
    <row r="36">
      <c r="B36" s="5" t="inlineStr">
        <is>
          <t>Network Adapters</t>
        </is>
      </c>
      <c r="C36" s="6" t="inlineStr">
        <is>
          <t>400 GbE / Slingshot / InfiniBand / Ultra Ethernet options.</t>
        </is>
      </c>
    </row>
    <row r="37">
      <c r="B37" s="5" t="inlineStr">
        <is>
          <t>TDS Pricing</t>
        </is>
      </c>
      <c r="C37" s="6" t="inlineStr">
        <is>
          <t>Per-TDS build. Two identical systems required (§3.2.1).</t>
        </is>
      </c>
    </row>
    <row r="38">
      <c r="B38" s="5" t="inlineStr">
        <is>
          <t>Support &amp; Maintenance</t>
        </is>
      </c>
      <c r="C38" s="6" t="inlineStr">
        <is>
          <t>Years 1-4 base plus 5th/6th year and deferred options. Quoted by the OEM per §5.</t>
        </is>
      </c>
    </row>
    <row r="39">
      <c r="B39" s="5" t="inlineStr">
        <is>
          <t>Services &amp; Deliverables</t>
        </is>
      </c>
      <c r="C39" s="6" t="inlineStr">
        <is>
          <t>Install, RDHX, and the full ATO/SCRM documentation package. Price these — do not absorb them.</t>
        </is>
      </c>
    </row>
    <row r="40">
      <c r="B40" s="5" t="inlineStr">
        <is>
          <t>Lead Time &amp; Risk</t>
        </is>
      </c>
      <c r="C40" s="6" t="inlineStr">
        <is>
          <t>Long-lead components and alternative delivery schedules per §1 and PPI §2.3.</t>
        </is>
      </c>
    </row>
    <row r="41">
      <c r="B41" s="5" t="inlineStr">
        <is>
          <t>Compliance Matrix</t>
        </is>
      </c>
      <c r="C41" s="6" t="inlineStr">
        <is>
          <t>Pre-populated with the RFP's requirements. Mark Comply / Exception / Alternative on every row.</t>
        </is>
      </c>
    </row>
    <row r="43">
      <c r="B43" s="2" t="inlineStr">
        <is>
          <t>Prepared for internal capture use. Verify every part number, FIPS status, and country of origin with the OEM before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8" customWidth="1" min="4" max="4"/>
    <col width="22" customWidth="1" min="5" max="5"/>
    <col width="30" customWidth="1" min="6" max="6"/>
    <col width="10" customWidth="1" min="7" max="7"/>
  </cols>
  <sheetData>
    <row r="1" ht="20" customHeight="1">
      <c r="A1" s="7" t="inlineStr">
        <is>
          <t>CONFIG SUMMARY — three media strategies</t>
        </is>
      </c>
    </row>
    <row r="2">
      <c r="A2" s="2" t="inlineStr">
        <is>
          <t>Capacity, power and price roll-up. Yellow cells are direct inputs; the rest pull from the pricing tabs.</t>
        </is>
      </c>
    </row>
    <row r="4" ht="30" customHeight="1">
      <c r="A4" s="8" t="inlineStr">
        <is>
          <t>Metric</t>
        </is>
      </c>
      <c r="B4" s="8" t="inlineStr">
        <is>
          <t>Unit</t>
        </is>
      </c>
      <c r="C4" s="8" t="inlineStr">
        <is>
          <t>All-HDD</t>
        </is>
      </c>
      <c r="D4" s="8" t="inlineStr">
        <is>
          <t>All-Flash</t>
        </is>
      </c>
      <c r="E4" s="8" t="inlineStr">
        <is>
          <t>Hybrid (recommended)</t>
        </is>
      </c>
      <c r="F4" s="8" t="inlineStr">
        <is>
          <t>Constraint / target</t>
        </is>
      </c>
      <c r="G4" s="8" t="inlineStr">
        <is>
          <t>Pass?</t>
        </is>
      </c>
    </row>
    <row r="5">
      <c r="A5" s="9" t="inlineStr">
        <is>
          <t>Usable capacity</t>
        </is>
      </c>
      <c r="B5" s="10" t="inlineStr">
        <is>
          <t>PB</t>
        </is>
      </c>
      <c r="C5" s="11" t="n"/>
      <c r="D5" s="11" t="n"/>
      <c r="E5" s="11" t="n"/>
      <c r="F5" s="12" t="inlineStr">
        <is>
          <t>150–250 PB (§3.2.2) — confirm 8-rack vs 16-rack</t>
        </is>
      </c>
      <c r="G5" s="13">
        <f>IF(MAX(C5:E5)=0,"—",IF(AND(MIN(C5:E5)&gt;=150,MAX(C5:E5)&lt;=250),"OK","CHECK"))</f>
        <v/>
      </c>
    </row>
    <row r="6">
      <c r="A6" s="9" t="inlineStr">
        <is>
          <t>Raw capacity</t>
        </is>
      </c>
      <c r="B6" s="10" t="inlineStr">
        <is>
          <t>PB</t>
        </is>
      </c>
      <c r="C6" s="11" t="n"/>
      <c r="D6" s="11" t="n"/>
      <c r="E6" s="11" t="n"/>
      <c r="F6" s="12" t="inlineStr">
        <is>
          <t>—</t>
        </is>
      </c>
      <c r="G6" s="14" t="n"/>
    </row>
    <row r="7">
      <c r="A7" s="9" t="inlineStr">
        <is>
          <t>Erasure coding scheme</t>
        </is>
      </c>
      <c r="B7" s="10" t="inlineStr">
        <is>
          <t>text</t>
        </is>
      </c>
      <c r="C7" s="11" t="n"/>
      <c r="D7" s="11" t="n"/>
      <c r="E7" s="11" t="n"/>
      <c r="F7" s="12" t="inlineStr">
        <is>
          <t>e.g. 8+2 declustered</t>
        </is>
      </c>
      <c r="G7" s="14" t="n"/>
    </row>
    <row r="8">
      <c r="A8" s="9" t="inlineStr">
        <is>
          <t>Storage efficiency</t>
        </is>
      </c>
      <c r="B8" s="10" t="inlineStr">
        <is>
          <t>%</t>
        </is>
      </c>
      <c r="C8" s="15">
        <f>IFERROR(C5/C6,0)</f>
        <v/>
      </c>
      <c r="D8" s="15">
        <f>IFERROR(D5/D6,0)</f>
        <v/>
      </c>
      <c r="E8" s="15">
        <f>IFERROR(E5/E6,0)</f>
        <v/>
      </c>
      <c r="F8" s="12" t="inlineStr">
        <is>
          <t>usable ÷ raw</t>
        </is>
      </c>
      <c r="G8" s="14" t="n"/>
    </row>
    <row r="9">
      <c r="A9" s="9" t="inlineStr">
        <is>
          <t>Production racks used</t>
        </is>
      </c>
      <c r="B9" s="10" t="inlineStr">
        <is>
          <t>count</t>
        </is>
      </c>
      <c r="C9" s="11" t="n"/>
      <c r="D9" s="11" t="n"/>
      <c r="E9" s="11" t="n"/>
      <c r="F9" s="12" t="inlineStr">
        <is>
          <t>8 of 16 for base bid (§3.2)</t>
        </is>
      </c>
      <c r="G9" s="14" t="n"/>
    </row>
    <row r="10">
      <c r="A10" s="9" t="inlineStr">
        <is>
          <t>Rack U consumed</t>
        </is>
      </c>
      <c r="B10" s="10" t="inlineStr">
        <is>
          <t>U</t>
        </is>
      </c>
      <c r="C10" s="11" t="n"/>
      <c r="D10" s="11" t="n"/>
      <c r="E10" s="11" t="n"/>
      <c r="F10" s="12" t="inlineStr">
        <is>
          <t>≤ 50U per rack (§7)</t>
        </is>
      </c>
      <c r="G10" s="14" t="n"/>
    </row>
    <row r="11">
      <c r="A11" s="9" t="inlineStr">
        <is>
          <t>Total power draw</t>
        </is>
      </c>
      <c r="B11" s="10" t="inlineStr">
        <is>
          <t>kW</t>
        </is>
      </c>
      <c r="C11" s="11" t="n"/>
      <c r="D11" s="11" t="n"/>
      <c r="E11" s="11" t="n"/>
      <c r="F11" s="12" t="inlineStr">
        <is>
          <t>≤ 138 kW for 8-rack base; ≤ 275 kW all-in (§7.1)</t>
        </is>
      </c>
      <c r="G11" s="13">
        <f>IF(MAX(C11:E11)=0,"—",IF(MAX(C11:E11)&lt;=138,"OK","OVER"))</f>
        <v/>
      </c>
    </row>
    <row r="12">
      <c r="A12" s="9" t="inlineStr">
        <is>
          <t>Power per rack</t>
        </is>
      </c>
      <c r="B12" s="10" t="inlineStr">
        <is>
          <t>kW</t>
        </is>
      </c>
      <c r="C12" s="16">
        <f>IFERROR(C11/C9,0)</f>
        <v/>
      </c>
      <c r="D12" s="16">
        <f>IFERROR(D11/D9,0)</f>
        <v/>
      </c>
      <c r="E12" s="16">
        <f>IFERROR(E11/E9,0)</f>
        <v/>
      </c>
      <c r="F12" s="12" t="inlineStr">
        <is>
          <t>≤ 17.3 kW on a single feed (§7.1)</t>
        </is>
      </c>
      <c r="G12" s="13">
        <f>IF(MAX(C12:E12)=0,"—",IF(MAX(C12:E12)&lt;=17.3,"OK","OVER"))</f>
        <v/>
      </c>
    </row>
    <row r="13">
      <c r="A13" s="9" t="inlineStr">
        <is>
          <t>HSN endpoints</t>
        </is>
      </c>
      <c r="B13" s="10" t="inlineStr">
        <is>
          <t>count</t>
        </is>
      </c>
      <c r="C13" s="11" t="n"/>
      <c r="D13" s="11" t="n"/>
      <c r="E13" s="11" t="n"/>
      <c r="F13" s="12" t="inlineStr">
        <is>
          <t>≤ 120 (§3.2.2)</t>
        </is>
      </c>
      <c r="G13" s="13">
        <f>IF(MAX(C13:E13)=0,"—",IF(MAX(C13:E13)&lt;=120,"OK","OVER"))</f>
        <v/>
      </c>
    </row>
    <row r="14">
      <c r="A14" s="9" t="inlineStr">
        <is>
          <t>Aggregate read bandwidth</t>
        </is>
      </c>
      <c r="B14" s="10" t="inlineStr">
        <is>
          <t>GB/s</t>
        </is>
      </c>
      <c r="C14" s="11" t="n"/>
      <c r="D14" s="11" t="n"/>
      <c r="E14" s="11" t="n"/>
      <c r="F14" s="12" t="inlineStr">
        <is>
          <t>Offeror-stated, aged (§4, §4.2)</t>
        </is>
      </c>
      <c r="G14" s="14" t="n"/>
    </row>
    <row r="15">
      <c r="A15" s="9" t="inlineStr">
        <is>
          <t>Aggregate write bandwidth</t>
        </is>
      </c>
      <c r="B15" s="10" t="inlineStr">
        <is>
          <t>GB/s</t>
        </is>
      </c>
      <c r="C15" s="11" t="n"/>
      <c r="D15" s="11" t="n"/>
      <c r="E15" s="11" t="n"/>
      <c r="F15" s="12" t="inlineStr">
        <is>
          <t>Offeror-stated, aged (§4, §4.2)</t>
        </is>
      </c>
      <c r="G15" s="14" t="n"/>
    </row>
    <row r="16">
      <c r="A16" s="9" t="inlineStr">
        <is>
          <t>Namespace IOPS (4 KiB)</t>
        </is>
      </c>
      <c r="B16" s="10" t="inlineStr">
        <is>
          <t>M IOPS</t>
        </is>
      </c>
      <c r="C16" s="11" t="n"/>
      <c r="D16" s="11" t="n"/>
      <c r="E16" s="11" t="n"/>
      <c r="F16" s="12" t="inlineStr">
        <is>
          <t>Offeror-stated, aged (§4)</t>
        </is>
      </c>
      <c r="G16" s="14" t="n"/>
    </row>
    <row r="17">
      <c r="A17" s="9" t="inlineStr">
        <is>
          <t>mdtest file create rate</t>
        </is>
      </c>
      <c r="B17" s="10" t="inlineStr">
        <is>
          <t>K ops/s</t>
        </is>
      </c>
      <c r="C17" s="11" t="n"/>
      <c r="D17" s="11" t="n"/>
      <c r="E17" s="11" t="n"/>
      <c r="F17" s="12" t="inlineStr">
        <is>
          <t>At 70% aged utilization (§4.2)</t>
        </is>
      </c>
      <c r="G17" s="14" t="n"/>
    </row>
    <row r="18">
      <c r="A18" s="9" t="inlineStr">
        <is>
          <t>Total inodes supported</t>
        </is>
      </c>
      <c r="B18" s="10" t="inlineStr">
        <is>
          <t>billions</t>
        </is>
      </c>
      <c r="C18" s="11" t="n"/>
      <c r="D18" s="11" t="n"/>
      <c r="E18" s="11" t="n"/>
      <c r="F18" s="12" t="inlineStr">
        <is>
          <t>Plan for 10B (see brief §3.4)</t>
        </is>
      </c>
      <c r="G18" s="14" t="n"/>
    </row>
    <row r="20">
      <c r="A20" s="3" t="inlineStr">
        <is>
          <t>PRICE ROLL-UP</t>
        </is>
      </c>
    </row>
    <row r="21">
      <c r="A21" s="17" t="inlineStr">
        <is>
          <t>Hardware subcontract — base bid (8 racks)</t>
        </is>
      </c>
      <c r="B21" s="14" t="n"/>
      <c r="C21" s="18">
        <f>SUMIFS('Node &amp; SSU Pricing'!$J$6:$J$61,'Node &amp; SSU Pricing'!$B$6:$B$61,"All-HDD")+SUMIFS('Node &amp; SSU Pricing'!$J$6:$J$61,'Node &amp; SSU Pricing'!$B$6:$B$61,"All")</f>
        <v/>
      </c>
      <c r="D21" s="18">
        <f>SUMIFS('Node &amp; SSU Pricing'!$J$6:$J$61,'Node &amp; SSU Pricing'!$B$6:$B$61,"All-Flash")+SUMIFS('Node &amp; SSU Pricing'!$J$6:$J$61,'Node &amp; SSU Pricing'!$B$6:$B$61,"All")</f>
        <v/>
      </c>
      <c r="E21" s="18">
        <f>SUMIFS('Node &amp; SSU Pricing'!$J$6:$J$61,'Node &amp; SSU Pricing'!$B$6:$B$61,"Hybrid")+SUMIFS('Node &amp; SSU Pricing'!$J$6:$J$61,'Node &amp; SSU Pricing'!$B$6:$B$61,"All")</f>
        <v/>
      </c>
    </row>
    <row r="22">
      <c r="A22" s="17" t="inlineStr">
        <is>
          <t>Hardware subcontract — SSU growth options (racks 9–16)</t>
        </is>
      </c>
      <c r="B22" s="14" t="n"/>
      <c r="C22" s="19" t="n"/>
      <c r="D22" s="19" t="n"/>
      <c r="E22" s="19" t="n"/>
    </row>
    <row r="23">
      <c r="A23" s="17" t="inlineStr">
        <is>
          <t>TDS — 2 systems</t>
        </is>
      </c>
      <c r="B23" s="14" t="n"/>
      <c r="C23" s="20">
        <f>'TDS Pricing'!$H$20</f>
        <v/>
      </c>
      <c r="D23" s="20">
        <f>'TDS Pricing'!$H$20</f>
        <v/>
      </c>
      <c r="E23" s="20">
        <f>'TDS Pricing'!$H$20</f>
        <v/>
      </c>
    </row>
    <row r="24">
      <c r="A24" s="17" t="inlineStr">
        <is>
          <t>Services &amp; deliverables (separately priced)</t>
        </is>
      </c>
      <c r="B24" s="14" t="n"/>
      <c r="C24" s="20">
        <f>'Services &amp; Deliverables'!$E$30</f>
        <v/>
      </c>
      <c r="D24" s="20">
        <f>'Services &amp; Deliverables'!$E$30</f>
        <v/>
      </c>
      <c r="E24" s="20">
        <f>'Services &amp; Deliverables'!$E$30</f>
        <v/>
      </c>
    </row>
    <row r="25">
      <c r="A25" s="17" t="inlineStr">
        <is>
          <t>Support &amp; maintenance — years 1–4</t>
        </is>
      </c>
      <c r="B25" s="14" t="n"/>
      <c r="C25" s="20">
        <f>SUM('Support &amp; Maintenance'!$D$22:$G$22)-SUM('Support &amp; Maintenance'!$D$18:$G$18)</f>
        <v/>
      </c>
      <c r="D25" s="20">
        <f>SUM('Support &amp; Maintenance'!$D$22:$G$22)-SUM('Support &amp; Maintenance'!$D$18:$G$18)</f>
        <v/>
      </c>
      <c r="E25" s="20">
        <f>SUM('Support &amp; Maintenance'!$D$22:$G$22)-SUM('Support &amp; Maintenance'!$D$18:$G$18)</f>
        <v/>
      </c>
    </row>
    <row r="26">
      <c r="A26" s="17" t="inlineStr">
        <is>
          <t>Support &amp; maintenance — year 5 option</t>
        </is>
      </c>
      <c r="B26" s="14" t="n"/>
      <c r="C26" s="20">
        <f>'Support &amp; Maintenance'!$H$22-'Support &amp; Maintenance'!$H$18</f>
        <v/>
      </c>
      <c r="D26" s="20">
        <f>'Support &amp; Maintenance'!$H$22-'Support &amp; Maintenance'!$H$18</f>
        <v/>
      </c>
      <c r="E26" s="20">
        <f>'Support &amp; Maintenance'!$H$22-'Support &amp; Maintenance'!$H$18</f>
        <v/>
      </c>
    </row>
    <row r="27">
      <c r="A27" s="17" t="inlineStr">
        <is>
          <t>Support &amp; maintenance — year 6 option</t>
        </is>
      </c>
      <c r="B27" s="14" t="n"/>
      <c r="C27" s="20">
        <f>'Support &amp; Maintenance'!$I$22-'Support &amp; Maintenance'!$I$18</f>
        <v/>
      </c>
      <c r="D27" s="20">
        <f>'Support &amp; Maintenance'!$I$22-'Support &amp; Maintenance'!$I$18</f>
        <v/>
      </c>
      <c r="E27" s="20">
        <f>'Support &amp; Maintenance'!$I$22-'Support &amp; Maintenance'!$I$18</f>
        <v/>
      </c>
    </row>
    <row r="28">
      <c r="A28" s="17" t="inlineStr">
        <is>
          <t>On-site System Software Analyst (Q-cleared), 4 yr</t>
        </is>
      </c>
      <c r="B28" s="14" t="n"/>
      <c r="C28" s="20">
        <f>SUM('Support &amp; Maintenance'!$D$18:$G$18)</f>
        <v/>
      </c>
      <c r="D28" s="20">
        <f>SUM('Support &amp; Maintenance'!$D$18:$G$18)</f>
        <v/>
      </c>
      <c r="E28" s="20">
        <f>SUM('Support &amp; Maintenance'!$D$18:$G$18)</f>
        <v/>
      </c>
    </row>
    <row r="30">
      <c r="A30" s="21" t="inlineStr">
        <is>
          <t>TOTAL EVALUATED PRICE</t>
        </is>
      </c>
      <c r="C30" s="22">
        <f>SUM(C21:C28)</f>
        <v/>
      </c>
      <c r="D30" s="22">
        <f>SUM(D21:D28)</f>
        <v/>
      </c>
      <c r="E30" s="22">
        <f>SUM(E21:E28)</f>
        <v/>
      </c>
    </row>
    <row r="32">
      <c r="A32" s="23" t="inlineStr">
        <is>
          <t>$ per usable PB (hardware only)</t>
        </is>
      </c>
      <c r="C32" s="18">
        <f>IFERROR((C21+C22)/C5,0)</f>
        <v/>
      </c>
      <c r="D32" s="18">
        <f>IFERROR((D21+D22)/D5,0)</f>
        <v/>
      </c>
      <c r="E32" s="18">
        <f>IFERROR((E21+E22)/E5,0)</f>
        <v/>
      </c>
    </row>
    <row r="35">
      <c r="A35" s="24" t="inlineStr">
        <is>
          <t>Note: 'usable' must be defined in the proposal — post-erasure-code, post-filesystem-overhead, and before the 70% aged-utilization test of §4.2. Confirm whether ORNL's PB means 10^15 or PiB (2^50); the difference is 12.6%.</t>
        </is>
      </c>
    </row>
    <row r="36"/>
  </sheetData>
  <mergeCells count="1">
    <mergeCell ref="A35:F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34" customWidth="1" min="4" max="4"/>
    <col width="18" customWidth="1" min="5" max="5"/>
    <col width="8" customWidth="1" min="6" max="6"/>
    <col width="8" customWidth="1" min="7" max="7"/>
    <col width="10" customWidth="1" min="8" max="8"/>
    <col width="14" customWidth="1" min="9" max="9"/>
    <col width="16" customWidth="1" min="10" max="10"/>
    <col width="9" customWidth="1" min="11" max="11"/>
    <col width="10" customWidth="1" min="12" max="12"/>
    <col width="12" customWidth="1" min="13" max="13"/>
    <col width="20" customWidth="1" min="14" max="14"/>
    <col width="18" customWidth="1" min="15" max="15"/>
    <col width="30" customWidth="1" min="16" max="16"/>
  </cols>
  <sheetData>
    <row r="1" ht="20" customHeight="1">
      <c r="A1" s="7" t="inlineStr">
        <is>
          <t>NODE &amp; SSU PRICING</t>
        </is>
      </c>
    </row>
    <row r="2">
      <c r="A2" s="2" t="inlineStr">
        <is>
          <t>§1: pricing breakouts for all offered node types and relevant components. Tag every line with the config it belongs to.</t>
        </is>
      </c>
    </row>
    <row r="4" ht="30" customHeight="1">
      <c r="A4" s="8" t="inlineStr">
        <is>
          <t>ID</t>
        </is>
      </c>
      <c r="B4" s="8" t="inlineStr">
        <is>
          <t>Config</t>
        </is>
      </c>
      <c r="C4" s="8" t="inlineStr">
        <is>
          <t>Node / SSU type</t>
        </is>
      </c>
      <c r="D4" s="8" t="inlineStr">
        <is>
          <t>Description</t>
        </is>
      </c>
      <c r="E4" s="8" t="inlineStr">
        <is>
          <t>Mfr part no.</t>
        </is>
      </c>
      <c r="F4" s="8" t="inlineStr">
        <is>
          <t>Qty</t>
        </is>
      </c>
      <c r="G4" s="8" t="inlineStr">
        <is>
          <t>U each</t>
        </is>
      </c>
      <c r="H4" s="8" t="inlineStr">
        <is>
          <t>Watts each</t>
        </is>
      </c>
      <c r="I4" s="8" t="inlineStr">
        <is>
          <t>Unit price</t>
        </is>
      </c>
      <c r="J4" s="8" t="inlineStr">
        <is>
          <t>Extended price</t>
        </is>
      </c>
      <c r="K4" s="8" t="inlineStr">
        <is>
          <t>Total U</t>
        </is>
      </c>
      <c r="L4" s="8" t="inlineStr">
        <is>
          <t>Total kW</t>
        </is>
      </c>
      <c r="M4" s="8" t="inlineStr">
        <is>
          <t>Lead time (wks)</t>
        </is>
      </c>
      <c r="N4" s="8" t="inlineStr">
        <is>
          <t>TAA country of origin</t>
        </is>
      </c>
      <c r="O4" s="8" t="inlineStr">
        <is>
          <t>FIPS status</t>
        </is>
      </c>
      <c r="P4" s="8" t="inlineStr">
        <is>
          <t>Notes</t>
        </is>
      </c>
    </row>
    <row r="5">
      <c r="A5" s="25" t="inlineStr">
        <is>
          <t>EX</t>
        </is>
      </c>
      <c r="B5" s="25" t="inlineStr">
        <is>
          <t>Hybrid</t>
        </is>
      </c>
      <c r="C5" s="25" t="inlineStr">
        <is>
          <t>Capacity SSU</t>
        </is>
      </c>
      <c r="D5" s="25" t="inlineStr">
        <is>
          <t>4U102 JBOD, 102 x 26TB CMR SED</t>
        </is>
      </c>
      <c r="E5" s="25" t="inlineStr">
        <is>
          <t>1EX2000-EXAMPLE</t>
        </is>
      </c>
      <c r="F5" s="25" t="n">
        <v>60</v>
      </c>
      <c r="G5" s="25" t="n">
        <v>4</v>
      </c>
      <c r="H5" s="25" t="n">
        <v>1300</v>
      </c>
      <c r="I5" s="26" t="n">
        <v>185000</v>
      </c>
      <c r="J5" s="27">
        <f>IFERROR(F5*I5,0)</f>
        <v/>
      </c>
      <c r="K5" s="28">
        <f>IFERROR(F5*G5,0)</f>
        <v/>
      </c>
      <c r="L5" s="29">
        <f>IFERROR(F5*H5/1000,0)</f>
        <v/>
      </c>
      <c r="M5" s="25" t="n">
        <v>26</v>
      </c>
      <c r="N5" s="25" t="inlineStr">
        <is>
          <t>Thailand — verify</t>
        </is>
      </c>
      <c r="O5" s="25" t="inlineStr">
        <is>
          <t>140-3 compliant SED</t>
        </is>
      </c>
      <c r="P5" s="25" t="inlineStr">
        <is>
          <t>Example row — overwrite</t>
        </is>
      </c>
    </row>
    <row r="6">
      <c r="A6" s="10" t="n">
        <v>1</v>
      </c>
      <c r="B6" s="11" t="n"/>
      <c r="C6" s="11" t="n"/>
      <c r="D6" s="11" t="n"/>
      <c r="E6" s="11" t="n"/>
      <c r="F6" s="11" t="n"/>
      <c r="G6" s="11" t="n"/>
      <c r="H6" s="11" t="n"/>
      <c r="I6" s="19" t="n"/>
      <c r="J6" s="30">
        <f>IFERROR(F6*I6,0)</f>
        <v/>
      </c>
      <c r="K6" s="31">
        <f>IFERROR(F6*G6,0)</f>
        <v/>
      </c>
      <c r="L6" s="16">
        <f>IFERROR(F6*H6/1000,0)</f>
        <v/>
      </c>
      <c r="M6" s="11" t="n"/>
      <c r="N6" s="11" t="n"/>
      <c r="O6" s="11" t="n"/>
      <c r="P6" s="11" t="n"/>
    </row>
    <row r="7">
      <c r="A7" s="10" t="n">
        <v>2</v>
      </c>
      <c r="B7" s="11" t="n"/>
      <c r="C7" s="11" t="n"/>
      <c r="D7" s="11" t="n"/>
      <c r="E7" s="11" t="n"/>
      <c r="F7" s="11" t="n"/>
      <c r="G7" s="11" t="n"/>
      <c r="H7" s="11" t="n"/>
      <c r="I7" s="19" t="n"/>
      <c r="J7" s="30">
        <f>IFERROR(F7*I7,0)</f>
        <v/>
      </c>
      <c r="K7" s="31">
        <f>IFERROR(F7*G7,0)</f>
        <v/>
      </c>
      <c r="L7" s="16">
        <f>IFERROR(F7*H7/1000,0)</f>
        <v/>
      </c>
      <c r="M7" s="11" t="n"/>
      <c r="N7" s="11" t="n"/>
      <c r="O7" s="11" t="n"/>
      <c r="P7" s="11" t="n"/>
    </row>
    <row r="8">
      <c r="A8" s="10" t="n">
        <v>3</v>
      </c>
      <c r="B8" s="11" t="n"/>
      <c r="C8" s="11" t="n"/>
      <c r="D8" s="11" t="n"/>
      <c r="E8" s="11" t="n"/>
      <c r="F8" s="11" t="n"/>
      <c r="G8" s="11" t="n"/>
      <c r="H8" s="11" t="n"/>
      <c r="I8" s="19" t="n"/>
      <c r="J8" s="30">
        <f>IFERROR(F8*I8,0)</f>
        <v/>
      </c>
      <c r="K8" s="31">
        <f>IFERROR(F8*G8,0)</f>
        <v/>
      </c>
      <c r="L8" s="16">
        <f>IFERROR(F8*H8/1000,0)</f>
        <v/>
      </c>
      <c r="M8" s="11" t="n"/>
      <c r="N8" s="11" t="n"/>
      <c r="O8" s="11" t="n"/>
      <c r="P8" s="11" t="n"/>
    </row>
    <row r="9">
      <c r="A9" s="10" t="n">
        <v>4</v>
      </c>
      <c r="B9" s="11" t="n"/>
      <c r="C9" s="11" t="n"/>
      <c r="D9" s="11" t="n"/>
      <c r="E9" s="11" t="n"/>
      <c r="F9" s="11" t="n"/>
      <c r="G9" s="11" t="n"/>
      <c r="H9" s="11" t="n"/>
      <c r="I9" s="19" t="n"/>
      <c r="J9" s="30">
        <f>IFERROR(F9*I9,0)</f>
        <v/>
      </c>
      <c r="K9" s="31">
        <f>IFERROR(F9*G9,0)</f>
        <v/>
      </c>
      <c r="L9" s="16">
        <f>IFERROR(F9*H9/1000,0)</f>
        <v/>
      </c>
      <c r="M9" s="11" t="n"/>
      <c r="N9" s="11" t="n"/>
      <c r="O9" s="11" t="n"/>
      <c r="P9" s="11" t="n"/>
    </row>
    <row r="10">
      <c r="A10" s="10" t="n">
        <v>5</v>
      </c>
      <c r="B10" s="11" t="n"/>
      <c r="C10" s="11" t="n"/>
      <c r="D10" s="11" t="n"/>
      <c r="E10" s="11" t="n"/>
      <c r="F10" s="11" t="n"/>
      <c r="G10" s="11" t="n"/>
      <c r="H10" s="11" t="n"/>
      <c r="I10" s="19" t="n"/>
      <c r="J10" s="30">
        <f>IFERROR(F10*I10,0)</f>
        <v/>
      </c>
      <c r="K10" s="31">
        <f>IFERROR(F10*G10,0)</f>
        <v/>
      </c>
      <c r="L10" s="16">
        <f>IFERROR(F10*H10/1000,0)</f>
        <v/>
      </c>
      <c r="M10" s="11" t="n"/>
      <c r="N10" s="11" t="n"/>
      <c r="O10" s="11" t="n"/>
      <c r="P10" s="11" t="n"/>
    </row>
    <row r="11">
      <c r="A11" s="10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9" t="n"/>
      <c r="J11" s="30">
        <f>IFERROR(F11*I11,0)</f>
        <v/>
      </c>
      <c r="K11" s="31">
        <f>IFERROR(F11*G11,0)</f>
        <v/>
      </c>
      <c r="L11" s="16">
        <f>IFERROR(F11*H11/1000,0)</f>
        <v/>
      </c>
      <c r="M11" s="11" t="n"/>
      <c r="N11" s="11" t="n"/>
      <c r="O11" s="11" t="n"/>
      <c r="P11" s="11" t="n"/>
    </row>
    <row r="12">
      <c r="A12" s="10" t="n">
        <v>7</v>
      </c>
      <c r="B12" s="11" t="n"/>
      <c r="C12" s="11" t="n"/>
      <c r="D12" s="11" t="n"/>
      <c r="E12" s="11" t="n"/>
      <c r="F12" s="11" t="n"/>
      <c r="G12" s="11" t="n"/>
      <c r="H12" s="11" t="n"/>
      <c r="I12" s="19" t="n"/>
      <c r="J12" s="30">
        <f>IFERROR(F12*I12,0)</f>
        <v/>
      </c>
      <c r="K12" s="31">
        <f>IFERROR(F12*G12,0)</f>
        <v/>
      </c>
      <c r="L12" s="16">
        <f>IFERROR(F12*H12/1000,0)</f>
        <v/>
      </c>
      <c r="M12" s="11" t="n"/>
      <c r="N12" s="11" t="n"/>
      <c r="O12" s="11" t="n"/>
      <c r="P12" s="11" t="n"/>
    </row>
    <row r="13">
      <c r="A13" s="10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9" t="n"/>
      <c r="J13" s="30">
        <f>IFERROR(F13*I13,0)</f>
        <v/>
      </c>
      <c r="K13" s="31">
        <f>IFERROR(F13*G13,0)</f>
        <v/>
      </c>
      <c r="L13" s="16">
        <f>IFERROR(F13*H13/1000,0)</f>
        <v/>
      </c>
      <c r="M13" s="11" t="n"/>
      <c r="N13" s="11" t="n"/>
      <c r="O13" s="11" t="n"/>
      <c r="P13" s="11" t="n"/>
    </row>
    <row r="14">
      <c r="A14" s="10" t="n">
        <v>9</v>
      </c>
      <c r="B14" s="11" t="n"/>
      <c r="C14" s="11" t="n"/>
      <c r="D14" s="11" t="n"/>
      <c r="E14" s="11" t="n"/>
      <c r="F14" s="11" t="n"/>
      <c r="G14" s="11" t="n"/>
      <c r="H14" s="11" t="n"/>
      <c r="I14" s="19" t="n"/>
      <c r="J14" s="30">
        <f>IFERROR(F14*I14,0)</f>
        <v/>
      </c>
      <c r="K14" s="31">
        <f>IFERROR(F14*G14,0)</f>
        <v/>
      </c>
      <c r="L14" s="16">
        <f>IFERROR(F14*H14/1000,0)</f>
        <v/>
      </c>
      <c r="M14" s="11" t="n"/>
      <c r="N14" s="11" t="n"/>
      <c r="O14" s="11" t="n"/>
      <c r="P14" s="11" t="n"/>
    </row>
    <row r="15">
      <c r="A15" s="10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9" t="n"/>
      <c r="J15" s="30">
        <f>IFERROR(F15*I15,0)</f>
        <v/>
      </c>
      <c r="K15" s="31">
        <f>IFERROR(F15*G15,0)</f>
        <v/>
      </c>
      <c r="L15" s="16">
        <f>IFERROR(F15*H15/1000,0)</f>
        <v/>
      </c>
      <c r="M15" s="11" t="n"/>
      <c r="N15" s="11" t="n"/>
      <c r="O15" s="11" t="n"/>
      <c r="P15" s="11" t="n"/>
    </row>
    <row r="16">
      <c r="A16" s="10" t="n">
        <v>11</v>
      </c>
      <c r="B16" s="11" t="n"/>
      <c r="C16" s="11" t="n"/>
      <c r="D16" s="11" t="n"/>
      <c r="E16" s="11" t="n"/>
      <c r="F16" s="11" t="n"/>
      <c r="G16" s="11" t="n"/>
      <c r="H16" s="11" t="n"/>
      <c r="I16" s="19" t="n"/>
      <c r="J16" s="30">
        <f>IFERROR(F16*I16,0)</f>
        <v/>
      </c>
      <c r="K16" s="31">
        <f>IFERROR(F16*G16,0)</f>
        <v/>
      </c>
      <c r="L16" s="16">
        <f>IFERROR(F16*H16/1000,0)</f>
        <v/>
      </c>
      <c r="M16" s="11" t="n"/>
      <c r="N16" s="11" t="n"/>
      <c r="O16" s="11" t="n"/>
      <c r="P16" s="11" t="n"/>
    </row>
    <row r="17">
      <c r="A17" s="10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9" t="n"/>
      <c r="J17" s="30">
        <f>IFERROR(F17*I17,0)</f>
        <v/>
      </c>
      <c r="K17" s="31">
        <f>IFERROR(F17*G17,0)</f>
        <v/>
      </c>
      <c r="L17" s="16">
        <f>IFERROR(F17*H17/1000,0)</f>
        <v/>
      </c>
      <c r="M17" s="11" t="n"/>
      <c r="N17" s="11" t="n"/>
      <c r="O17" s="11" t="n"/>
      <c r="P17" s="11" t="n"/>
    </row>
    <row r="18">
      <c r="A18" s="10" t="n">
        <v>13</v>
      </c>
      <c r="B18" s="11" t="n"/>
      <c r="C18" s="11" t="n"/>
      <c r="D18" s="11" t="n"/>
      <c r="E18" s="11" t="n"/>
      <c r="F18" s="11" t="n"/>
      <c r="G18" s="11" t="n"/>
      <c r="H18" s="11" t="n"/>
      <c r="I18" s="19" t="n"/>
      <c r="J18" s="30">
        <f>IFERROR(F18*I18,0)</f>
        <v/>
      </c>
      <c r="K18" s="31">
        <f>IFERROR(F18*G18,0)</f>
        <v/>
      </c>
      <c r="L18" s="16">
        <f>IFERROR(F18*H18/1000,0)</f>
        <v/>
      </c>
      <c r="M18" s="11" t="n"/>
      <c r="N18" s="11" t="n"/>
      <c r="O18" s="11" t="n"/>
      <c r="P18" s="11" t="n"/>
    </row>
    <row r="19">
      <c r="A19" s="10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9" t="n"/>
      <c r="J19" s="30">
        <f>IFERROR(F19*I19,0)</f>
        <v/>
      </c>
      <c r="K19" s="31">
        <f>IFERROR(F19*G19,0)</f>
        <v/>
      </c>
      <c r="L19" s="16">
        <f>IFERROR(F19*H19/1000,0)</f>
        <v/>
      </c>
      <c r="M19" s="11" t="n"/>
      <c r="N19" s="11" t="n"/>
      <c r="O19" s="11" t="n"/>
      <c r="P19" s="11" t="n"/>
    </row>
    <row r="20">
      <c r="A20" s="10" t="n">
        <v>15</v>
      </c>
      <c r="B20" s="11" t="n"/>
      <c r="C20" s="11" t="n"/>
      <c r="D20" s="11" t="n"/>
      <c r="E20" s="11" t="n"/>
      <c r="F20" s="11" t="n"/>
      <c r="G20" s="11" t="n"/>
      <c r="H20" s="11" t="n"/>
      <c r="I20" s="19" t="n"/>
      <c r="J20" s="30">
        <f>IFERROR(F20*I20,0)</f>
        <v/>
      </c>
      <c r="K20" s="31">
        <f>IFERROR(F20*G20,0)</f>
        <v/>
      </c>
      <c r="L20" s="16">
        <f>IFERROR(F20*H20/1000,0)</f>
        <v/>
      </c>
      <c r="M20" s="11" t="n"/>
      <c r="N20" s="11" t="n"/>
      <c r="O20" s="11" t="n"/>
      <c r="P20" s="11" t="n"/>
    </row>
    <row r="21">
      <c r="A21" s="10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9" t="n"/>
      <c r="J21" s="30">
        <f>IFERROR(F21*I21,0)</f>
        <v/>
      </c>
      <c r="K21" s="31">
        <f>IFERROR(F21*G21,0)</f>
        <v/>
      </c>
      <c r="L21" s="16">
        <f>IFERROR(F21*H21/1000,0)</f>
        <v/>
      </c>
      <c r="M21" s="11" t="n"/>
      <c r="N21" s="11" t="n"/>
      <c r="O21" s="11" t="n"/>
      <c r="P21" s="11" t="n"/>
    </row>
    <row r="22">
      <c r="A22" s="10" t="n">
        <v>17</v>
      </c>
      <c r="B22" s="11" t="n"/>
      <c r="C22" s="11" t="n"/>
      <c r="D22" s="11" t="n"/>
      <c r="E22" s="11" t="n"/>
      <c r="F22" s="11" t="n"/>
      <c r="G22" s="11" t="n"/>
      <c r="H22" s="11" t="n"/>
      <c r="I22" s="19" t="n"/>
      <c r="J22" s="30">
        <f>IFERROR(F22*I22,0)</f>
        <v/>
      </c>
      <c r="K22" s="31">
        <f>IFERROR(F22*G22,0)</f>
        <v/>
      </c>
      <c r="L22" s="16">
        <f>IFERROR(F22*H22/1000,0)</f>
        <v/>
      </c>
      <c r="M22" s="11" t="n"/>
      <c r="N22" s="11" t="n"/>
      <c r="O22" s="11" t="n"/>
      <c r="P22" s="11" t="n"/>
    </row>
    <row r="23">
      <c r="A23" s="10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9" t="n"/>
      <c r="J23" s="30">
        <f>IFERROR(F23*I23,0)</f>
        <v/>
      </c>
      <c r="K23" s="31">
        <f>IFERROR(F23*G23,0)</f>
        <v/>
      </c>
      <c r="L23" s="16">
        <f>IFERROR(F23*H23/1000,0)</f>
        <v/>
      </c>
      <c r="M23" s="11" t="n"/>
      <c r="N23" s="11" t="n"/>
      <c r="O23" s="11" t="n"/>
      <c r="P23" s="11" t="n"/>
    </row>
    <row r="24">
      <c r="A24" s="10" t="n">
        <v>19</v>
      </c>
      <c r="B24" s="11" t="n"/>
      <c r="C24" s="11" t="n"/>
      <c r="D24" s="11" t="n"/>
      <c r="E24" s="11" t="n"/>
      <c r="F24" s="11" t="n"/>
      <c r="G24" s="11" t="n"/>
      <c r="H24" s="11" t="n"/>
      <c r="I24" s="19" t="n"/>
      <c r="J24" s="30">
        <f>IFERROR(F24*I24,0)</f>
        <v/>
      </c>
      <c r="K24" s="31">
        <f>IFERROR(F24*G24,0)</f>
        <v/>
      </c>
      <c r="L24" s="16">
        <f>IFERROR(F24*H24/1000,0)</f>
        <v/>
      </c>
      <c r="M24" s="11" t="n"/>
      <c r="N24" s="11" t="n"/>
      <c r="O24" s="11" t="n"/>
      <c r="P24" s="11" t="n"/>
    </row>
    <row r="25">
      <c r="A25" s="10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9" t="n"/>
      <c r="J25" s="30">
        <f>IFERROR(F25*I25,0)</f>
        <v/>
      </c>
      <c r="K25" s="31">
        <f>IFERROR(F25*G25,0)</f>
        <v/>
      </c>
      <c r="L25" s="16">
        <f>IFERROR(F25*H25/1000,0)</f>
        <v/>
      </c>
      <c r="M25" s="11" t="n"/>
      <c r="N25" s="11" t="n"/>
      <c r="O25" s="11" t="n"/>
      <c r="P25" s="11" t="n"/>
    </row>
    <row r="26">
      <c r="A26" s="10" t="n">
        <v>21</v>
      </c>
      <c r="B26" s="11" t="n"/>
      <c r="C26" s="11" t="n"/>
      <c r="D26" s="11" t="n"/>
      <c r="E26" s="11" t="n"/>
      <c r="F26" s="11" t="n"/>
      <c r="G26" s="11" t="n"/>
      <c r="H26" s="11" t="n"/>
      <c r="I26" s="19" t="n"/>
      <c r="J26" s="30">
        <f>IFERROR(F26*I26,0)</f>
        <v/>
      </c>
      <c r="K26" s="31">
        <f>IFERROR(F26*G26,0)</f>
        <v/>
      </c>
      <c r="L26" s="16">
        <f>IFERROR(F26*H26/1000,0)</f>
        <v/>
      </c>
      <c r="M26" s="11" t="n"/>
      <c r="N26" s="11" t="n"/>
      <c r="O26" s="11" t="n"/>
      <c r="P26" s="11" t="n"/>
    </row>
    <row r="27">
      <c r="A27" s="10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9" t="n"/>
      <c r="J27" s="30">
        <f>IFERROR(F27*I27,0)</f>
        <v/>
      </c>
      <c r="K27" s="31">
        <f>IFERROR(F27*G27,0)</f>
        <v/>
      </c>
      <c r="L27" s="16">
        <f>IFERROR(F27*H27/1000,0)</f>
        <v/>
      </c>
      <c r="M27" s="11" t="n"/>
      <c r="N27" s="11" t="n"/>
      <c r="O27" s="11" t="n"/>
      <c r="P27" s="11" t="n"/>
    </row>
    <row r="28">
      <c r="A28" s="10" t="n">
        <v>23</v>
      </c>
      <c r="B28" s="11" t="n"/>
      <c r="C28" s="11" t="n"/>
      <c r="D28" s="11" t="n"/>
      <c r="E28" s="11" t="n"/>
      <c r="F28" s="11" t="n"/>
      <c r="G28" s="11" t="n"/>
      <c r="H28" s="11" t="n"/>
      <c r="I28" s="19" t="n"/>
      <c r="J28" s="30">
        <f>IFERROR(F28*I28,0)</f>
        <v/>
      </c>
      <c r="K28" s="31">
        <f>IFERROR(F28*G28,0)</f>
        <v/>
      </c>
      <c r="L28" s="16">
        <f>IFERROR(F28*H28/1000,0)</f>
        <v/>
      </c>
      <c r="M28" s="11" t="n"/>
      <c r="N28" s="11" t="n"/>
      <c r="O28" s="11" t="n"/>
      <c r="P28" s="11" t="n"/>
    </row>
    <row r="29">
      <c r="A29" s="10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9" t="n"/>
      <c r="J29" s="30">
        <f>IFERROR(F29*I29,0)</f>
        <v/>
      </c>
      <c r="K29" s="31">
        <f>IFERROR(F29*G29,0)</f>
        <v/>
      </c>
      <c r="L29" s="16">
        <f>IFERROR(F29*H29/1000,0)</f>
        <v/>
      </c>
      <c r="M29" s="11" t="n"/>
      <c r="N29" s="11" t="n"/>
      <c r="O29" s="11" t="n"/>
      <c r="P29" s="11" t="n"/>
    </row>
    <row r="30">
      <c r="A30" s="10" t="n">
        <v>25</v>
      </c>
      <c r="B30" s="11" t="n"/>
      <c r="C30" s="11" t="n"/>
      <c r="D30" s="11" t="n"/>
      <c r="E30" s="11" t="n"/>
      <c r="F30" s="11" t="n"/>
      <c r="G30" s="11" t="n"/>
      <c r="H30" s="11" t="n"/>
      <c r="I30" s="19" t="n"/>
      <c r="J30" s="30">
        <f>IFERROR(F30*I30,0)</f>
        <v/>
      </c>
      <c r="K30" s="31">
        <f>IFERROR(F30*G30,0)</f>
        <v/>
      </c>
      <c r="L30" s="16">
        <f>IFERROR(F30*H30/1000,0)</f>
        <v/>
      </c>
      <c r="M30" s="11" t="n"/>
      <c r="N30" s="11" t="n"/>
      <c r="O30" s="11" t="n"/>
      <c r="P30" s="11" t="n"/>
    </row>
    <row r="31">
      <c r="A31" s="10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9" t="n"/>
      <c r="J31" s="30">
        <f>IFERROR(F31*I31,0)</f>
        <v/>
      </c>
      <c r="K31" s="31">
        <f>IFERROR(F31*G31,0)</f>
        <v/>
      </c>
      <c r="L31" s="16">
        <f>IFERROR(F31*H31/1000,0)</f>
        <v/>
      </c>
      <c r="M31" s="11" t="n"/>
      <c r="N31" s="11" t="n"/>
      <c r="O31" s="11" t="n"/>
      <c r="P31" s="11" t="n"/>
    </row>
    <row r="32">
      <c r="A32" s="10" t="n">
        <v>27</v>
      </c>
      <c r="B32" s="11" t="n"/>
      <c r="C32" s="11" t="n"/>
      <c r="D32" s="11" t="n"/>
      <c r="E32" s="11" t="n"/>
      <c r="F32" s="11" t="n"/>
      <c r="G32" s="11" t="n"/>
      <c r="H32" s="11" t="n"/>
      <c r="I32" s="19" t="n"/>
      <c r="J32" s="30">
        <f>IFERROR(F32*I32,0)</f>
        <v/>
      </c>
      <c r="K32" s="31">
        <f>IFERROR(F32*G32,0)</f>
        <v/>
      </c>
      <c r="L32" s="16">
        <f>IFERROR(F32*H32/1000,0)</f>
        <v/>
      </c>
      <c r="M32" s="11" t="n"/>
      <c r="N32" s="11" t="n"/>
      <c r="O32" s="11" t="n"/>
      <c r="P32" s="11" t="n"/>
    </row>
    <row r="33">
      <c r="A33" s="10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9" t="n"/>
      <c r="J33" s="30">
        <f>IFERROR(F33*I33,0)</f>
        <v/>
      </c>
      <c r="K33" s="31">
        <f>IFERROR(F33*G33,0)</f>
        <v/>
      </c>
      <c r="L33" s="16">
        <f>IFERROR(F33*H33/1000,0)</f>
        <v/>
      </c>
      <c r="M33" s="11" t="n"/>
      <c r="N33" s="11" t="n"/>
      <c r="O33" s="11" t="n"/>
      <c r="P33" s="11" t="n"/>
    </row>
    <row r="34">
      <c r="A34" s="10" t="n">
        <v>29</v>
      </c>
      <c r="B34" s="11" t="n"/>
      <c r="C34" s="11" t="n"/>
      <c r="D34" s="11" t="n"/>
      <c r="E34" s="11" t="n"/>
      <c r="F34" s="11" t="n"/>
      <c r="G34" s="11" t="n"/>
      <c r="H34" s="11" t="n"/>
      <c r="I34" s="19" t="n"/>
      <c r="J34" s="30">
        <f>IFERROR(F34*I34,0)</f>
        <v/>
      </c>
      <c r="K34" s="31">
        <f>IFERROR(F34*G34,0)</f>
        <v/>
      </c>
      <c r="L34" s="16">
        <f>IFERROR(F34*H34/1000,0)</f>
        <v/>
      </c>
      <c r="M34" s="11" t="n"/>
      <c r="N34" s="11" t="n"/>
      <c r="O34" s="11" t="n"/>
      <c r="P34" s="11" t="n"/>
    </row>
    <row r="35">
      <c r="A35" s="10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9" t="n"/>
      <c r="J35" s="30">
        <f>IFERROR(F35*I35,0)</f>
        <v/>
      </c>
      <c r="K35" s="31">
        <f>IFERROR(F35*G35,0)</f>
        <v/>
      </c>
      <c r="L35" s="16">
        <f>IFERROR(F35*H35/1000,0)</f>
        <v/>
      </c>
      <c r="M35" s="11" t="n"/>
      <c r="N35" s="11" t="n"/>
      <c r="O35" s="11" t="n"/>
      <c r="P35" s="11" t="n"/>
    </row>
    <row r="36">
      <c r="A36" s="10" t="n">
        <v>31</v>
      </c>
      <c r="B36" s="11" t="n"/>
      <c r="C36" s="11" t="n"/>
      <c r="D36" s="11" t="n"/>
      <c r="E36" s="11" t="n"/>
      <c r="F36" s="11" t="n"/>
      <c r="G36" s="11" t="n"/>
      <c r="H36" s="11" t="n"/>
      <c r="I36" s="19" t="n"/>
      <c r="J36" s="30">
        <f>IFERROR(F36*I36,0)</f>
        <v/>
      </c>
      <c r="K36" s="31">
        <f>IFERROR(F36*G36,0)</f>
        <v/>
      </c>
      <c r="L36" s="16">
        <f>IFERROR(F36*H36/1000,0)</f>
        <v/>
      </c>
      <c r="M36" s="11" t="n"/>
      <c r="N36" s="11" t="n"/>
      <c r="O36" s="11" t="n"/>
      <c r="P36" s="11" t="n"/>
    </row>
    <row r="37">
      <c r="A37" s="10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9" t="n"/>
      <c r="J37" s="30">
        <f>IFERROR(F37*I37,0)</f>
        <v/>
      </c>
      <c r="K37" s="31">
        <f>IFERROR(F37*G37,0)</f>
        <v/>
      </c>
      <c r="L37" s="16">
        <f>IFERROR(F37*H37/1000,0)</f>
        <v/>
      </c>
      <c r="M37" s="11" t="n"/>
      <c r="N37" s="11" t="n"/>
      <c r="O37" s="11" t="n"/>
      <c r="P37" s="11" t="n"/>
    </row>
    <row r="38">
      <c r="A38" s="10" t="n">
        <v>33</v>
      </c>
      <c r="B38" s="11" t="n"/>
      <c r="C38" s="11" t="n"/>
      <c r="D38" s="11" t="n"/>
      <c r="E38" s="11" t="n"/>
      <c r="F38" s="11" t="n"/>
      <c r="G38" s="11" t="n"/>
      <c r="H38" s="11" t="n"/>
      <c r="I38" s="19" t="n"/>
      <c r="J38" s="30">
        <f>IFERROR(F38*I38,0)</f>
        <v/>
      </c>
      <c r="K38" s="31">
        <f>IFERROR(F38*G38,0)</f>
        <v/>
      </c>
      <c r="L38" s="16">
        <f>IFERROR(F38*H38/1000,0)</f>
        <v/>
      </c>
      <c r="M38" s="11" t="n"/>
      <c r="N38" s="11" t="n"/>
      <c r="O38" s="11" t="n"/>
      <c r="P38" s="11" t="n"/>
    </row>
    <row r="39">
      <c r="A39" s="10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9" t="n"/>
      <c r="J39" s="30">
        <f>IFERROR(F39*I39,0)</f>
        <v/>
      </c>
      <c r="K39" s="31">
        <f>IFERROR(F39*G39,0)</f>
        <v/>
      </c>
      <c r="L39" s="16">
        <f>IFERROR(F39*H39/1000,0)</f>
        <v/>
      </c>
      <c r="M39" s="11" t="n"/>
      <c r="N39" s="11" t="n"/>
      <c r="O39" s="11" t="n"/>
      <c r="P39" s="11" t="n"/>
    </row>
    <row r="40">
      <c r="A40" s="10" t="n">
        <v>35</v>
      </c>
      <c r="B40" s="11" t="n"/>
      <c r="C40" s="11" t="n"/>
      <c r="D40" s="11" t="n"/>
      <c r="E40" s="11" t="n"/>
      <c r="F40" s="11" t="n"/>
      <c r="G40" s="11" t="n"/>
      <c r="H40" s="11" t="n"/>
      <c r="I40" s="19" t="n"/>
      <c r="J40" s="30">
        <f>IFERROR(F40*I40,0)</f>
        <v/>
      </c>
      <c r="K40" s="31">
        <f>IFERROR(F40*G40,0)</f>
        <v/>
      </c>
      <c r="L40" s="16">
        <f>IFERROR(F40*H40/1000,0)</f>
        <v/>
      </c>
      <c r="M40" s="11" t="n"/>
      <c r="N40" s="11" t="n"/>
      <c r="O40" s="11" t="n"/>
      <c r="P40" s="11" t="n"/>
    </row>
    <row r="41">
      <c r="A41" s="10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9" t="n"/>
      <c r="J41" s="30">
        <f>IFERROR(F41*I41,0)</f>
        <v/>
      </c>
      <c r="K41" s="31">
        <f>IFERROR(F41*G41,0)</f>
        <v/>
      </c>
      <c r="L41" s="16">
        <f>IFERROR(F41*H41/1000,0)</f>
        <v/>
      </c>
      <c r="M41" s="11" t="n"/>
      <c r="N41" s="11" t="n"/>
      <c r="O41" s="11" t="n"/>
      <c r="P41" s="11" t="n"/>
    </row>
    <row r="42">
      <c r="A42" s="10" t="n">
        <v>37</v>
      </c>
      <c r="B42" s="11" t="n"/>
      <c r="C42" s="11" t="n"/>
      <c r="D42" s="11" t="n"/>
      <c r="E42" s="11" t="n"/>
      <c r="F42" s="11" t="n"/>
      <c r="G42" s="11" t="n"/>
      <c r="H42" s="11" t="n"/>
      <c r="I42" s="19" t="n"/>
      <c r="J42" s="30">
        <f>IFERROR(F42*I42,0)</f>
        <v/>
      </c>
      <c r="K42" s="31">
        <f>IFERROR(F42*G42,0)</f>
        <v/>
      </c>
      <c r="L42" s="16">
        <f>IFERROR(F42*H42/1000,0)</f>
        <v/>
      </c>
      <c r="M42" s="11" t="n"/>
      <c r="N42" s="11" t="n"/>
      <c r="O42" s="11" t="n"/>
      <c r="P42" s="11" t="n"/>
    </row>
    <row r="43">
      <c r="A43" s="10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9" t="n"/>
      <c r="J43" s="30">
        <f>IFERROR(F43*I43,0)</f>
        <v/>
      </c>
      <c r="K43" s="31">
        <f>IFERROR(F43*G43,0)</f>
        <v/>
      </c>
      <c r="L43" s="16">
        <f>IFERROR(F43*H43/1000,0)</f>
        <v/>
      </c>
      <c r="M43" s="11" t="n"/>
      <c r="N43" s="11" t="n"/>
      <c r="O43" s="11" t="n"/>
      <c r="P43" s="11" t="n"/>
    </row>
    <row r="44">
      <c r="A44" s="10" t="n">
        <v>39</v>
      </c>
      <c r="B44" s="11" t="n"/>
      <c r="C44" s="11" t="n"/>
      <c r="D44" s="11" t="n"/>
      <c r="E44" s="11" t="n"/>
      <c r="F44" s="11" t="n"/>
      <c r="G44" s="11" t="n"/>
      <c r="H44" s="11" t="n"/>
      <c r="I44" s="19" t="n"/>
      <c r="J44" s="30">
        <f>IFERROR(F44*I44,0)</f>
        <v/>
      </c>
      <c r="K44" s="31">
        <f>IFERROR(F44*G44,0)</f>
        <v/>
      </c>
      <c r="L44" s="16">
        <f>IFERROR(F44*H44/1000,0)</f>
        <v/>
      </c>
      <c r="M44" s="11" t="n"/>
      <c r="N44" s="11" t="n"/>
      <c r="O44" s="11" t="n"/>
      <c r="P44" s="11" t="n"/>
    </row>
    <row r="45">
      <c r="A45" s="10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9" t="n"/>
      <c r="J45" s="30">
        <f>IFERROR(F45*I45,0)</f>
        <v/>
      </c>
      <c r="K45" s="31">
        <f>IFERROR(F45*G45,0)</f>
        <v/>
      </c>
      <c r="L45" s="16">
        <f>IFERROR(F45*H45/1000,0)</f>
        <v/>
      </c>
      <c r="M45" s="11" t="n"/>
      <c r="N45" s="11" t="n"/>
      <c r="O45" s="11" t="n"/>
      <c r="P45" s="11" t="n"/>
    </row>
    <row r="46">
      <c r="A46" s="10" t="n">
        <v>41</v>
      </c>
      <c r="B46" s="11" t="n"/>
      <c r="C46" s="11" t="n"/>
      <c r="D46" s="11" t="n"/>
      <c r="E46" s="11" t="n"/>
      <c r="F46" s="11" t="n"/>
      <c r="G46" s="11" t="n"/>
      <c r="H46" s="11" t="n"/>
      <c r="I46" s="19" t="n"/>
      <c r="J46" s="30">
        <f>IFERROR(F46*I46,0)</f>
        <v/>
      </c>
      <c r="K46" s="31">
        <f>IFERROR(F46*G46,0)</f>
        <v/>
      </c>
      <c r="L46" s="16">
        <f>IFERROR(F46*H46/1000,0)</f>
        <v/>
      </c>
      <c r="M46" s="11" t="n"/>
      <c r="N46" s="11" t="n"/>
      <c r="O46" s="11" t="n"/>
      <c r="P46" s="11" t="n"/>
    </row>
    <row r="47">
      <c r="A47" s="10" t="n">
        <v>42</v>
      </c>
      <c r="B47" s="11" t="n"/>
      <c r="C47" s="11" t="n"/>
      <c r="D47" s="11" t="n"/>
      <c r="E47" s="11" t="n"/>
      <c r="F47" s="11" t="n"/>
      <c r="G47" s="11" t="n"/>
      <c r="H47" s="11" t="n"/>
      <c r="I47" s="19" t="n"/>
      <c r="J47" s="30">
        <f>IFERROR(F47*I47,0)</f>
        <v/>
      </c>
      <c r="K47" s="31">
        <f>IFERROR(F47*G47,0)</f>
        <v/>
      </c>
      <c r="L47" s="16">
        <f>IFERROR(F47*H47/1000,0)</f>
        <v/>
      </c>
      <c r="M47" s="11" t="n"/>
      <c r="N47" s="11" t="n"/>
      <c r="O47" s="11" t="n"/>
      <c r="P47" s="11" t="n"/>
    </row>
    <row r="48">
      <c r="A48" s="10" t="n">
        <v>43</v>
      </c>
      <c r="B48" s="11" t="n"/>
      <c r="C48" s="11" t="n"/>
      <c r="D48" s="11" t="n"/>
      <c r="E48" s="11" t="n"/>
      <c r="F48" s="11" t="n"/>
      <c r="G48" s="11" t="n"/>
      <c r="H48" s="11" t="n"/>
      <c r="I48" s="19" t="n"/>
      <c r="J48" s="30">
        <f>IFERROR(F48*I48,0)</f>
        <v/>
      </c>
      <c r="K48" s="31">
        <f>IFERROR(F48*G48,0)</f>
        <v/>
      </c>
      <c r="L48" s="16">
        <f>IFERROR(F48*H48/1000,0)</f>
        <v/>
      </c>
      <c r="M48" s="11" t="n"/>
      <c r="N48" s="11" t="n"/>
      <c r="O48" s="11" t="n"/>
      <c r="P48" s="11" t="n"/>
    </row>
    <row r="49">
      <c r="A49" s="10" t="n">
        <v>44</v>
      </c>
      <c r="B49" s="11" t="n"/>
      <c r="C49" s="11" t="n"/>
      <c r="D49" s="11" t="n"/>
      <c r="E49" s="11" t="n"/>
      <c r="F49" s="11" t="n"/>
      <c r="G49" s="11" t="n"/>
      <c r="H49" s="11" t="n"/>
      <c r="I49" s="19" t="n"/>
      <c r="J49" s="30">
        <f>IFERROR(F49*I49,0)</f>
        <v/>
      </c>
      <c r="K49" s="31">
        <f>IFERROR(F49*G49,0)</f>
        <v/>
      </c>
      <c r="L49" s="16">
        <f>IFERROR(F49*H49/1000,0)</f>
        <v/>
      </c>
      <c r="M49" s="11" t="n"/>
      <c r="N49" s="11" t="n"/>
      <c r="O49" s="11" t="n"/>
      <c r="P49" s="11" t="n"/>
    </row>
    <row r="50">
      <c r="A50" s="10" t="n">
        <v>45</v>
      </c>
      <c r="B50" s="11" t="n"/>
      <c r="C50" s="11" t="n"/>
      <c r="D50" s="11" t="n"/>
      <c r="E50" s="11" t="n"/>
      <c r="F50" s="11" t="n"/>
      <c r="G50" s="11" t="n"/>
      <c r="H50" s="11" t="n"/>
      <c r="I50" s="19" t="n"/>
      <c r="J50" s="30">
        <f>IFERROR(F50*I50,0)</f>
        <v/>
      </c>
      <c r="K50" s="31">
        <f>IFERROR(F50*G50,0)</f>
        <v/>
      </c>
      <c r="L50" s="16">
        <f>IFERROR(F50*H50/1000,0)</f>
        <v/>
      </c>
      <c r="M50" s="11" t="n"/>
      <c r="N50" s="11" t="n"/>
      <c r="O50" s="11" t="n"/>
      <c r="P50" s="11" t="n"/>
    </row>
    <row r="51">
      <c r="A51" s="10" t="n">
        <v>46</v>
      </c>
      <c r="B51" s="11" t="n"/>
      <c r="C51" s="11" t="n"/>
      <c r="D51" s="11" t="n"/>
      <c r="E51" s="11" t="n"/>
      <c r="F51" s="11" t="n"/>
      <c r="G51" s="11" t="n"/>
      <c r="H51" s="11" t="n"/>
      <c r="I51" s="19" t="n"/>
      <c r="J51" s="30">
        <f>IFERROR(F51*I51,0)</f>
        <v/>
      </c>
      <c r="K51" s="31">
        <f>IFERROR(F51*G51,0)</f>
        <v/>
      </c>
      <c r="L51" s="16">
        <f>IFERROR(F51*H51/1000,0)</f>
        <v/>
      </c>
      <c r="M51" s="11" t="n"/>
      <c r="N51" s="11" t="n"/>
      <c r="O51" s="11" t="n"/>
      <c r="P51" s="11" t="n"/>
    </row>
    <row r="52">
      <c r="A52" s="10" t="n">
        <v>47</v>
      </c>
      <c r="B52" s="11" t="n"/>
      <c r="C52" s="11" t="n"/>
      <c r="D52" s="11" t="n"/>
      <c r="E52" s="11" t="n"/>
      <c r="F52" s="11" t="n"/>
      <c r="G52" s="11" t="n"/>
      <c r="H52" s="11" t="n"/>
      <c r="I52" s="19" t="n"/>
      <c r="J52" s="30">
        <f>IFERROR(F52*I52,0)</f>
        <v/>
      </c>
      <c r="K52" s="31">
        <f>IFERROR(F52*G52,0)</f>
        <v/>
      </c>
      <c r="L52" s="16">
        <f>IFERROR(F52*H52/1000,0)</f>
        <v/>
      </c>
      <c r="M52" s="11" t="n"/>
      <c r="N52" s="11" t="n"/>
      <c r="O52" s="11" t="n"/>
      <c r="P52" s="11" t="n"/>
    </row>
    <row r="53">
      <c r="A53" s="10" t="n">
        <v>48</v>
      </c>
      <c r="B53" s="11" t="n"/>
      <c r="C53" s="11" t="n"/>
      <c r="D53" s="11" t="n"/>
      <c r="E53" s="11" t="n"/>
      <c r="F53" s="11" t="n"/>
      <c r="G53" s="11" t="n"/>
      <c r="H53" s="11" t="n"/>
      <c r="I53" s="19" t="n"/>
      <c r="J53" s="30">
        <f>IFERROR(F53*I53,0)</f>
        <v/>
      </c>
      <c r="K53" s="31">
        <f>IFERROR(F53*G53,0)</f>
        <v/>
      </c>
      <c r="L53" s="16">
        <f>IFERROR(F53*H53/1000,0)</f>
        <v/>
      </c>
      <c r="M53" s="11" t="n"/>
      <c r="N53" s="11" t="n"/>
      <c r="O53" s="11" t="n"/>
      <c r="P53" s="11" t="n"/>
    </row>
    <row r="54">
      <c r="A54" s="10" t="n">
        <v>49</v>
      </c>
      <c r="B54" s="11" t="n"/>
      <c r="C54" s="11" t="n"/>
      <c r="D54" s="11" t="n"/>
      <c r="E54" s="11" t="n"/>
      <c r="F54" s="11" t="n"/>
      <c r="G54" s="11" t="n"/>
      <c r="H54" s="11" t="n"/>
      <c r="I54" s="19" t="n"/>
      <c r="J54" s="30">
        <f>IFERROR(F54*I54,0)</f>
        <v/>
      </c>
      <c r="K54" s="31">
        <f>IFERROR(F54*G54,0)</f>
        <v/>
      </c>
      <c r="L54" s="16">
        <f>IFERROR(F54*H54/1000,0)</f>
        <v/>
      </c>
      <c r="M54" s="11" t="n"/>
      <c r="N54" s="11" t="n"/>
      <c r="O54" s="11" t="n"/>
      <c r="P54" s="11" t="n"/>
    </row>
    <row r="55">
      <c r="A55" s="10" t="n">
        <v>50</v>
      </c>
      <c r="B55" s="11" t="n"/>
      <c r="C55" s="11" t="n"/>
      <c r="D55" s="11" t="n"/>
      <c r="E55" s="11" t="n"/>
      <c r="F55" s="11" t="n"/>
      <c r="G55" s="11" t="n"/>
      <c r="H55" s="11" t="n"/>
      <c r="I55" s="19" t="n"/>
      <c r="J55" s="30">
        <f>IFERROR(F55*I55,0)</f>
        <v/>
      </c>
      <c r="K55" s="31">
        <f>IFERROR(F55*G55,0)</f>
        <v/>
      </c>
      <c r="L55" s="16">
        <f>IFERROR(F55*H55/1000,0)</f>
        <v/>
      </c>
      <c r="M55" s="11" t="n"/>
      <c r="N55" s="11" t="n"/>
      <c r="O55" s="11" t="n"/>
      <c r="P55" s="11" t="n"/>
    </row>
    <row r="56">
      <c r="A56" s="10" t="n">
        <v>51</v>
      </c>
      <c r="B56" s="11" t="n"/>
      <c r="C56" s="11" t="n"/>
      <c r="D56" s="11" t="n"/>
      <c r="E56" s="11" t="n"/>
      <c r="F56" s="11" t="n"/>
      <c r="G56" s="11" t="n"/>
      <c r="H56" s="11" t="n"/>
      <c r="I56" s="19" t="n"/>
      <c r="J56" s="30">
        <f>IFERROR(F56*I56,0)</f>
        <v/>
      </c>
      <c r="K56" s="31">
        <f>IFERROR(F56*G56,0)</f>
        <v/>
      </c>
      <c r="L56" s="16">
        <f>IFERROR(F56*H56/1000,0)</f>
        <v/>
      </c>
      <c r="M56" s="11" t="n"/>
      <c r="N56" s="11" t="n"/>
      <c r="O56" s="11" t="n"/>
      <c r="P56" s="11" t="n"/>
    </row>
    <row r="57">
      <c r="A57" s="10" t="n">
        <v>52</v>
      </c>
      <c r="B57" s="11" t="n"/>
      <c r="C57" s="11" t="n"/>
      <c r="D57" s="11" t="n"/>
      <c r="E57" s="11" t="n"/>
      <c r="F57" s="11" t="n"/>
      <c r="G57" s="11" t="n"/>
      <c r="H57" s="11" t="n"/>
      <c r="I57" s="19" t="n"/>
      <c r="J57" s="30">
        <f>IFERROR(F57*I57,0)</f>
        <v/>
      </c>
      <c r="K57" s="31">
        <f>IFERROR(F57*G57,0)</f>
        <v/>
      </c>
      <c r="L57" s="16">
        <f>IFERROR(F57*H57/1000,0)</f>
        <v/>
      </c>
      <c r="M57" s="11" t="n"/>
      <c r="N57" s="11" t="n"/>
      <c r="O57" s="11" t="n"/>
      <c r="P57" s="11" t="n"/>
    </row>
    <row r="58">
      <c r="A58" s="10" t="n">
        <v>53</v>
      </c>
      <c r="B58" s="11" t="n"/>
      <c r="C58" s="11" t="n"/>
      <c r="D58" s="11" t="n"/>
      <c r="E58" s="11" t="n"/>
      <c r="F58" s="11" t="n"/>
      <c r="G58" s="11" t="n"/>
      <c r="H58" s="11" t="n"/>
      <c r="I58" s="19" t="n"/>
      <c r="J58" s="30">
        <f>IFERROR(F58*I58,0)</f>
        <v/>
      </c>
      <c r="K58" s="31">
        <f>IFERROR(F58*G58,0)</f>
        <v/>
      </c>
      <c r="L58" s="16">
        <f>IFERROR(F58*H58/1000,0)</f>
        <v/>
      </c>
      <c r="M58" s="11" t="n"/>
      <c r="N58" s="11" t="n"/>
      <c r="O58" s="11" t="n"/>
      <c r="P58" s="11" t="n"/>
    </row>
    <row r="59">
      <c r="A59" s="10" t="n">
        <v>54</v>
      </c>
      <c r="B59" s="11" t="n"/>
      <c r="C59" s="11" t="n"/>
      <c r="D59" s="11" t="n"/>
      <c r="E59" s="11" t="n"/>
      <c r="F59" s="11" t="n"/>
      <c r="G59" s="11" t="n"/>
      <c r="H59" s="11" t="n"/>
      <c r="I59" s="19" t="n"/>
      <c r="J59" s="30">
        <f>IFERROR(F59*I59,0)</f>
        <v/>
      </c>
      <c r="K59" s="31">
        <f>IFERROR(F59*G59,0)</f>
        <v/>
      </c>
      <c r="L59" s="16">
        <f>IFERROR(F59*H59/1000,0)</f>
        <v/>
      </c>
      <c r="M59" s="11" t="n"/>
      <c r="N59" s="11" t="n"/>
      <c r="O59" s="11" t="n"/>
      <c r="P59" s="11" t="n"/>
    </row>
    <row r="60">
      <c r="A60" s="10" t="n">
        <v>55</v>
      </c>
      <c r="B60" s="11" t="n"/>
      <c r="C60" s="11" t="n"/>
      <c r="D60" s="11" t="n"/>
      <c r="E60" s="11" t="n"/>
      <c r="F60" s="11" t="n"/>
      <c r="G60" s="11" t="n"/>
      <c r="H60" s="11" t="n"/>
      <c r="I60" s="19" t="n"/>
      <c r="J60" s="30">
        <f>IFERROR(F60*I60,0)</f>
        <v/>
      </c>
      <c r="K60" s="31">
        <f>IFERROR(F60*G60,0)</f>
        <v/>
      </c>
      <c r="L60" s="16">
        <f>IFERROR(F60*H60/1000,0)</f>
        <v/>
      </c>
      <c r="M60" s="11" t="n"/>
      <c r="N60" s="11" t="n"/>
      <c r="O60" s="11" t="n"/>
      <c r="P60" s="11" t="n"/>
    </row>
    <row r="62">
      <c r="A62" s="32" t="inlineStr">
        <is>
          <t>TOTAL</t>
        </is>
      </c>
      <c r="J62" s="33">
        <f>SUM(J6:J61)</f>
        <v/>
      </c>
      <c r="K62" s="34">
        <f>SUM(K6:K61)</f>
        <v/>
      </c>
      <c r="L62" s="35">
        <f>SUM(L6:L61)</f>
        <v/>
      </c>
    </row>
    <row r="64">
      <c r="A64" s="2" t="inlineStr">
        <is>
          <t>Config values must be exactly: All-HDD, All-Flash, Hybrid, or All (for components common to every configuration). Config Summary sums on these strings.</t>
        </is>
      </c>
    </row>
    <row r="65">
      <c r="A65" s="2" t="inlineStr">
        <is>
          <t>Every distinct node type here drives a hot-spare node in the §5.2 parts cache. Consolidating node types lowers both spares cost and TDS cost.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8" customWidth="1" min="4" max="4"/>
    <col width="12" customWidth="1" min="5" max="5"/>
    <col width="14" customWidth="1" min="6" max="6"/>
    <col width="12" customWidth="1" min="7" max="7"/>
    <col width="8" customWidth="1" min="8" max="8"/>
    <col width="20" customWidth="1" min="9" max="9"/>
    <col width="18" customWidth="1" min="10" max="10"/>
    <col width="12" customWidth="1" min="11" max="11"/>
    <col width="10" customWidth="1" min="12" max="12"/>
    <col width="13" customWidth="1" min="13" max="13"/>
    <col width="11" customWidth="1" min="14" max="14"/>
    <col width="12" customWidth="1" min="15" max="15"/>
    <col width="14" customWidth="1" min="16" max="16"/>
    <col width="12" customWidth="1" min="17" max="17"/>
    <col width="32" customWidth="1" min="18" max="18"/>
  </cols>
  <sheetData>
    <row r="1" ht="20" customHeight="1">
      <c r="A1" s="7" t="inlineStr">
        <is>
          <t>MEDIA OPTIONS</t>
        </is>
      </c>
    </row>
    <row r="2">
      <c r="A2" s="2" t="inlineStr">
        <is>
          <t>§1 invites alternative HDD and flash technologies with lead times. §3.2 bars HAMR, MAMR and SMR, and requires FIPS SEDs on all media.</t>
        </is>
      </c>
    </row>
    <row r="4" ht="30" customHeight="1">
      <c r="A4" s="8" t="inlineStr">
        <is>
          <t>ID</t>
        </is>
      </c>
      <c r="B4" s="8" t="inlineStr">
        <is>
          <t>Media type</t>
        </is>
      </c>
      <c r="C4" s="8" t="inlineStr">
        <is>
          <t>Mfr / model</t>
        </is>
      </c>
      <c r="D4" s="8" t="inlineStr">
        <is>
          <t>Part no.</t>
        </is>
      </c>
      <c r="E4" s="8" t="inlineStr">
        <is>
          <t>Capacity (TB)</t>
        </is>
      </c>
      <c r="F4" s="8" t="inlineStr">
        <is>
          <t>Recording tech</t>
        </is>
      </c>
      <c r="G4" s="8" t="inlineStr">
        <is>
          <t>Interface</t>
        </is>
      </c>
      <c r="H4" s="8" t="inlineStr">
        <is>
          <t>SED?</t>
        </is>
      </c>
      <c r="I4" s="8" t="inlineStr">
        <is>
          <t>FIPS status</t>
        </is>
      </c>
      <c r="J4" s="8" t="inlineStr">
        <is>
          <t>Country of origin</t>
        </is>
      </c>
      <c r="K4" s="8" t="inlineStr">
        <is>
          <t>TAA compliant?</t>
        </is>
      </c>
      <c r="L4" s="8" t="inlineStr">
        <is>
          <t>Watts (typ)</t>
        </is>
      </c>
      <c r="M4" s="8" t="inlineStr">
        <is>
          <t>Unit price</t>
        </is>
      </c>
      <c r="N4" s="8" t="inlineStr">
        <is>
          <t>$ per TB</t>
        </is>
      </c>
      <c r="O4" s="8" t="inlineStr">
        <is>
          <t>Lead time (wks)</t>
        </is>
      </c>
      <c r="P4" s="8" t="inlineStr">
        <is>
          <t>Endurance (DWPD)</t>
        </is>
      </c>
      <c r="Q4" s="8" t="inlineStr">
        <is>
          <t>Compliant?</t>
        </is>
      </c>
      <c r="R4" s="8" t="inlineStr">
        <is>
          <t>Notes</t>
        </is>
      </c>
    </row>
    <row r="5">
      <c r="A5" s="25" t="inlineStr">
        <is>
          <t>EX</t>
        </is>
      </c>
      <c r="B5" s="25" t="inlineStr">
        <is>
          <t>HDD</t>
        </is>
      </c>
      <c r="C5" s="25" t="inlineStr">
        <is>
          <t>WD Ultrastar DC HC590</t>
        </is>
      </c>
      <c r="D5" s="25" t="inlineStr">
        <is>
          <t>WUH722626AL5201</t>
        </is>
      </c>
      <c r="E5" s="25" t="n">
        <v>26</v>
      </c>
      <c r="F5" s="25" t="inlineStr">
        <is>
          <t>ePMR / CMR</t>
        </is>
      </c>
      <c r="G5" s="25" t="inlineStr">
        <is>
          <t>SAS</t>
        </is>
      </c>
      <c r="H5" s="25" t="inlineStr">
        <is>
          <t>Y</t>
        </is>
      </c>
      <c r="I5" s="25" t="inlineStr">
        <is>
          <t>140-3 compliant</t>
        </is>
      </c>
      <c r="J5" s="25" t="inlineStr">
        <is>
          <t>Thailand</t>
        </is>
      </c>
      <c r="K5" s="25" t="inlineStr">
        <is>
          <t>Verify</t>
        </is>
      </c>
      <c r="L5" s="25" t="n">
        <v>9</v>
      </c>
      <c r="M5" s="26" t="n">
        <v>620</v>
      </c>
      <c r="N5" s="36">
        <f>IFERROR(M5/E5,0)</f>
        <v/>
      </c>
      <c r="O5" s="25" t="n">
        <v>26</v>
      </c>
      <c r="P5" s="25" t="inlineStr">
        <is>
          <t>n/a</t>
        </is>
      </c>
      <c r="Q5" s="37">
        <f>IF(C5="","",IF(OR(ISNUMBER(SEARCH("HAMR",F5)),ISNUMBER(SEARCH("MAMR",F5)),ISNUMBER(SEARCH("SMR",F5))),"NON-COMPLIANT",IF(H5&lt;&gt;"Y","NO SED",IF(K5="N","TAA FAIL","OK"))))</f>
        <v/>
      </c>
      <c r="R5" s="25" t="inlineStr">
        <is>
          <t>Example row — overwrite. Largest CMR-compliant capacity available.</t>
        </is>
      </c>
    </row>
    <row r="6">
      <c r="A6" s="10" t="n">
        <v>1</v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9" t="n"/>
      <c r="N6" s="38">
        <f>IFERROR(M6/E6,0)</f>
        <v/>
      </c>
      <c r="O6" s="14" t="n"/>
      <c r="P6" s="11" t="n"/>
      <c r="Q6" s="39">
        <f>IF(C6="","",IF(OR(ISNUMBER(SEARCH("HAMR",F6)),ISNUMBER(SEARCH("MAMR",F6)),ISNUMBER(SEARCH("SMR",F6))),"NON-COMPLIANT",IF(H6&lt;&gt;"Y","NO SED",IF(K6="N","TAA FAIL","OK"))))</f>
        <v/>
      </c>
      <c r="R6" s="11" t="n"/>
    </row>
    <row r="7">
      <c r="A7" s="10" t="n">
        <v>2</v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9" t="n"/>
      <c r="N7" s="38">
        <f>IFERROR(M7/E7,0)</f>
        <v/>
      </c>
      <c r="O7" s="14" t="n"/>
      <c r="P7" s="11" t="n"/>
      <c r="Q7" s="39">
        <f>IF(C7="","",IF(OR(ISNUMBER(SEARCH("HAMR",F7)),ISNUMBER(SEARCH("MAMR",F7)),ISNUMBER(SEARCH("SMR",F7))),"NON-COMPLIANT",IF(H7&lt;&gt;"Y","NO SED",IF(K7="N","TAA FAIL","OK"))))</f>
        <v/>
      </c>
      <c r="R7" s="11" t="n"/>
    </row>
    <row r="8">
      <c r="A8" s="10" t="n">
        <v>3</v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9" t="n"/>
      <c r="N8" s="38">
        <f>IFERROR(M8/E8,0)</f>
        <v/>
      </c>
      <c r="O8" s="14" t="n"/>
      <c r="P8" s="11" t="n"/>
      <c r="Q8" s="39">
        <f>IF(C8="","",IF(OR(ISNUMBER(SEARCH("HAMR",F8)),ISNUMBER(SEARCH("MAMR",F8)),ISNUMBER(SEARCH("SMR",F8))),"NON-COMPLIANT",IF(H8&lt;&gt;"Y","NO SED",IF(K8="N","TAA FAIL","OK"))))</f>
        <v/>
      </c>
      <c r="R8" s="11" t="n"/>
    </row>
    <row r="9">
      <c r="A9" s="10" t="n">
        <v>4</v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9" t="n"/>
      <c r="N9" s="38">
        <f>IFERROR(M9/E9,0)</f>
        <v/>
      </c>
      <c r="O9" s="14" t="n"/>
      <c r="P9" s="11" t="n"/>
      <c r="Q9" s="39">
        <f>IF(C9="","",IF(OR(ISNUMBER(SEARCH("HAMR",F9)),ISNUMBER(SEARCH("MAMR",F9)),ISNUMBER(SEARCH("SMR",F9))),"NON-COMPLIANT",IF(H9&lt;&gt;"Y","NO SED",IF(K9="N","TAA FAIL","OK"))))</f>
        <v/>
      </c>
      <c r="R9" s="11" t="n"/>
    </row>
    <row r="10">
      <c r="A10" s="10" t="n">
        <v>5</v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9" t="n"/>
      <c r="N10" s="38">
        <f>IFERROR(M10/E10,0)</f>
        <v/>
      </c>
      <c r="O10" s="14" t="n"/>
      <c r="P10" s="11" t="n"/>
      <c r="Q10" s="39">
        <f>IF(C10="","",IF(OR(ISNUMBER(SEARCH("HAMR",F10)),ISNUMBER(SEARCH("MAMR",F10)),ISNUMBER(SEARCH("SMR",F10))),"NON-COMPLIANT",IF(H10&lt;&gt;"Y","NO SED",IF(K10="N","TAA FAIL","OK"))))</f>
        <v/>
      </c>
      <c r="R10" s="11" t="n"/>
    </row>
    <row r="11">
      <c r="A11" s="10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9" t="n"/>
      <c r="N11" s="38">
        <f>IFERROR(M11/E11,0)</f>
        <v/>
      </c>
      <c r="O11" s="14" t="n"/>
      <c r="P11" s="11" t="n"/>
      <c r="Q11" s="39">
        <f>IF(C11="","",IF(OR(ISNUMBER(SEARCH("HAMR",F11)),ISNUMBER(SEARCH("MAMR",F11)),ISNUMBER(SEARCH("SMR",F11))),"NON-COMPLIANT",IF(H11&lt;&gt;"Y","NO SED",IF(K11="N","TAA FAIL","OK"))))</f>
        <v/>
      </c>
      <c r="R11" s="11" t="n"/>
    </row>
    <row r="12">
      <c r="A12" s="10" t="n">
        <v>7</v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9" t="n"/>
      <c r="N12" s="38">
        <f>IFERROR(M12/E12,0)</f>
        <v/>
      </c>
      <c r="O12" s="14" t="n"/>
      <c r="P12" s="11" t="n"/>
      <c r="Q12" s="39">
        <f>IF(C12="","",IF(OR(ISNUMBER(SEARCH("HAMR",F12)),ISNUMBER(SEARCH("MAMR",F12)),ISNUMBER(SEARCH("SMR",F12))),"NON-COMPLIANT",IF(H12&lt;&gt;"Y","NO SED",IF(K12="N","TAA FAIL","OK"))))</f>
        <v/>
      </c>
      <c r="R12" s="11" t="n"/>
    </row>
    <row r="13">
      <c r="A13" s="10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9" t="n"/>
      <c r="N13" s="38">
        <f>IFERROR(M13/E13,0)</f>
        <v/>
      </c>
      <c r="O13" s="14" t="n"/>
      <c r="P13" s="11" t="n"/>
      <c r="Q13" s="39">
        <f>IF(C13="","",IF(OR(ISNUMBER(SEARCH("HAMR",F13)),ISNUMBER(SEARCH("MAMR",F13)),ISNUMBER(SEARCH("SMR",F13))),"NON-COMPLIANT",IF(H13&lt;&gt;"Y","NO SED",IF(K13="N","TAA FAIL","OK"))))</f>
        <v/>
      </c>
      <c r="R13" s="11" t="n"/>
    </row>
    <row r="14">
      <c r="A14" s="10" t="n">
        <v>9</v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9" t="n"/>
      <c r="N14" s="38">
        <f>IFERROR(M14/E14,0)</f>
        <v/>
      </c>
      <c r="O14" s="14" t="n"/>
      <c r="P14" s="11" t="n"/>
      <c r="Q14" s="39">
        <f>IF(C14="","",IF(OR(ISNUMBER(SEARCH("HAMR",F14)),ISNUMBER(SEARCH("MAMR",F14)),ISNUMBER(SEARCH("SMR",F14))),"NON-COMPLIANT",IF(H14&lt;&gt;"Y","NO SED",IF(K14="N","TAA FAIL","OK"))))</f>
        <v/>
      </c>
      <c r="R14" s="11" t="n"/>
    </row>
    <row r="15">
      <c r="A15" s="10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9" t="n"/>
      <c r="N15" s="38">
        <f>IFERROR(M15/E15,0)</f>
        <v/>
      </c>
      <c r="O15" s="14" t="n"/>
      <c r="P15" s="11" t="n"/>
      <c r="Q15" s="39">
        <f>IF(C15="","",IF(OR(ISNUMBER(SEARCH("HAMR",F15)),ISNUMBER(SEARCH("MAMR",F15)),ISNUMBER(SEARCH("SMR",F15))),"NON-COMPLIANT",IF(H15&lt;&gt;"Y","NO SED",IF(K15="N","TAA FAIL","OK"))))</f>
        <v/>
      </c>
      <c r="R15" s="11" t="n"/>
    </row>
    <row r="16">
      <c r="A16" s="10" t="n">
        <v>11</v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9" t="n"/>
      <c r="N16" s="38">
        <f>IFERROR(M16/E16,0)</f>
        <v/>
      </c>
      <c r="O16" s="14" t="n"/>
      <c r="P16" s="11" t="n"/>
      <c r="Q16" s="39">
        <f>IF(C16="","",IF(OR(ISNUMBER(SEARCH("HAMR",F16)),ISNUMBER(SEARCH("MAMR",F16)),ISNUMBER(SEARCH("SMR",F16))),"NON-COMPLIANT",IF(H16&lt;&gt;"Y","NO SED",IF(K16="N","TAA FAIL","OK"))))</f>
        <v/>
      </c>
      <c r="R16" s="11" t="n"/>
    </row>
    <row r="17">
      <c r="A17" s="10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9" t="n"/>
      <c r="N17" s="38">
        <f>IFERROR(M17/E17,0)</f>
        <v/>
      </c>
      <c r="O17" s="14" t="n"/>
      <c r="P17" s="11" t="n"/>
      <c r="Q17" s="39">
        <f>IF(C17="","",IF(OR(ISNUMBER(SEARCH("HAMR",F17)),ISNUMBER(SEARCH("MAMR",F17)),ISNUMBER(SEARCH("SMR",F17))),"NON-COMPLIANT",IF(H17&lt;&gt;"Y","NO SED",IF(K17="N","TAA FAIL","OK"))))</f>
        <v/>
      </c>
      <c r="R17" s="11" t="n"/>
    </row>
    <row r="18">
      <c r="A18" s="10" t="n">
        <v>13</v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9" t="n"/>
      <c r="N18" s="38">
        <f>IFERROR(M18/E18,0)</f>
        <v/>
      </c>
      <c r="O18" s="14" t="n"/>
      <c r="P18" s="11" t="n"/>
      <c r="Q18" s="39">
        <f>IF(C18="","",IF(OR(ISNUMBER(SEARCH("HAMR",F18)),ISNUMBER(SEARCH("MAMR",F18)),ISNUMBER(SEARCH("SMR",F18))),"NON-COMPLIANT",IF(H18&lt;&gt;"Y","NO SED",IF(K18="N","TAA FAIL","OK"))))</f>
        <v/>
      </c>
      <c r="R18" s="11" t="n"/>
    </row>
    <row r="19">
      <c r="A19" s="10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9" t="n"/>
      <c r="N19" s="38">
        <f>IFERROR(M19/E19,0)</f>
        <v/>
      </c>
      <c r="O19" s="14" t="n"/>
      <c r="P19" s="11" t="n"/>
      <c r="Q19" s="39">
        <f>IF(C19="","",IF(OR(ISNUMBER(SEARCH("HAMR",F19)),ISNUMBER(SEARCH("MAMR",F19)),ISNUMBER(SEARCH("SMR",F19))),"NON-COMPLIANT",IF(H19&lt;&gt;"Y","NO SED",IF(K19="N","TAA FAIL","OK"))))</f>
        <v/>
      </c>
      <c r="R19" s="11" t="n"/>
    </row>
    <row r="20">
      <c r="A20" s="10" t="n">
        <v>15</v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9" t="n"/>
      <c r="N20" s="38">
        <f>IFERROR(M20/E20,0)</f>
        <v/>
      </c>
      <c r="O20" s="14" t="n"/>
      <c r="P20" s="11" t="n"/>
      <c r="Q20" s="39">
        <f>IF(C20="","",IF(OR(ISNUMBER(SEARCH("HAMR",F20)),ISNUMBER(SEARCH("MAMR",F20)),ISNUMBER(SEARCH("SMR",F20))),"NON-COMPLIANT",IF(H20&lt;&gt;"Y","NO SED",IF(K20="N","TAA FAIL","OK"))))</f>
        <v/>
      </c>
      <c r="R20" s="11" t="n"/>
    </row>
    <row r="21">
      <c r="A21" s="10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9" t="n"/>
      <c r="N21" s="38">
        <f>IFERROR(M21/E21,0)</f>
        <v/>
      </c>
      <c r="O21" s="14" t="n"/>
      <c r="P21" s="11" t="n"/>
      <c r="Q21" s="39">
        <f>IF(C21="","",IF(OR(ISNUMBER(SEARCH("HAMR",F21)),ISNUMBER(SEARCH("MAMR",F21)),ISNUMBER(SEARCH("SMR",F21))),"NON-COMPLIANT",IF(H21&lt;&gt;"Y","NO SED",IF(K21="N","TAA FAIL","OK"))))</f>
        <v/>
      </c>
      <c r="R21" s="11" t="n"/>
    </row>
    <row r="22">
      <c r="A22" s="10" t="n">
        <v>17</v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9" t="n"/>
      <c r="N22" s="38">
        <f>IFERROR(M22/E22,0)</f>
        <v/>
      </c>
      <c r="O22" s="14" t="n"/>
      <c r="P22" s="11" t="n"/>
      <c r="Q22" s="39">
        <f>IF(C22="","",IF(OR(ISNUMBER(SEARCH("HAMR",F22)),ISNUMBER(SEARCH("MAMR",F22)),ISNUMBER(SEARCH("SMR",F22))),"NON-COMPLIANT",IF(H22&lt;&gt;"Y","NO SED",IF(K22="N","TAA FAIL","OK"))))</f>
        <v/>
      </c>
      <c r="R22" s="11" t="n"/>
    </row>
    <row r="23">
      <c r="A23" s="10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9" t="n"/>
      <c r="N23" s="38">
        <f>IFERROR(M23/E23,0)</f>
        <v/>
      </c>
      <c r="O23" s="14" t="n"/>
      <c r="P23" s="11" t="n"/>
      <c r="Q23" s="39">
        <f>IF(C23="","",IF(OR(ISNUMBER(SEARCH("HAMR",F23)),ISNUMBER(SEARCH("MAMR",F23)),ISNUMBER(SEARCH("SMR",F23))),"NON-COMPLIANT",IF(H23&lt;&gt;"Y","NO SED",IF(K23="N","TAA FAIL","OK"))))</f>
        <v/>
      </c>
      <c r="R23" s="11" t="n"/>
    </row>
    <row r="24">
      <c r="A24" s="10" t="n">
        <v>19</v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9" t="n"/>
      <c r="N24" s="38">
        <f>IFERROR(M24/E24,0)</f>
        <v/>
      </c>
      <c r="O24" s="14" t="n"/>
      <c r="P24" s="11" t="n"/>
      <c r="Q24" s="39">
        <f>IF(C24="","",IF(OR(ISNUMBER(SEARCH("HAMR",F24)),ISNUMBER(SEARCH("MAMR",F24)),ISNUMBER(SEARCH("SMR",F24))),"NON-COMPLIANT",IF(H24&lt;&gt;"Y","NO SED",IF(K24="N","TAA FAIL","OK"))))</f>
        <v/>
      </c>
      <c r="R24" s="11" t="n"/>
    </row>
    <row r="25">
      <c r="A25" s="10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9" t="n"/>
      <c r="N25" s="38">
        <f>IFERROR(M25/E25,0)</f>
        <v/>
      </c>
      <c r="O25" s="14" t="n"/>
      <c r="P25" s="11" t="n"/>
      <c r="Q25" s="39">
        <f>IF(C25="","",IF(OR(ISNUMBER(SEARCH("HAMR",F25)),ISNUMBER(SEARCH("MAMR",F25)),ISNUMBER(SEARCH("SMR",F25))),"NON-COMPLIANT",IF(H25&lt;&gt;"Y","NO SED",IF(K25="N","TAA FAIL","OK"))))</f>
        <v/>
      </c>
      <c r="R25" s="11" t="n"/>
    </row>
    <row r="26">
      <c r="A26" s="10" t="n">
        <v>21</v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9" t="n"/>
      <c r="N26" s="38">
        <f>IFERROR(M26/E26,0)</f>
        <v/>
      </c>
      <c r="O26" s="14" t="n"/>
      <c r="P26" s="11" t="n"/>
      <c r="Q26" s="39">
        <f>IF(C26="","",IF(OR(ISNUMBER(SEARCH("HAMR",F26)),ISNUMBER(SEARCH("MAMR",F26)),ISNUMBER(SEARCH("SMR",F26))),"NON-COMPLIANT",IF(H26&lt;&gt;"Y","NO SED",IF(K26="N","TAA FAIL","OK"))))</f>
        <v/>
      </c>
      <c r="R26" s="11" t="n"/>
    </row>
    <row r="27">
      <c r="A27" s="10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9" t="n"/>
      <c r="N27" s="38">
        <f>IFERROR(M27/E27,0)</f>
        <v/>
      </c>
      <c r="O27" s="14" t="n"/>
      <c r="P27" s="11" t="n"/>
      <c r="Q27" s="39">
        <f>IF(C27="","",IF(OR(ISNUMBER(SEARCH("HAMR",F27)),ISNUMBER(SEARCH("MAMR",F27)),ISNUMBER(SEARCH("SMR",F27))),"NON-COMPLIANT",IF(H27&lt;&gt;"Y","NO SED",IF(K27="N","TAA FAIL","OK"))))</f>
        <v/>
      </c>
      <c r="R27" s="11" t="n"/>
    </row>
    <row r="28">
      <c r="A28" s="10" t="n">
        <v>23</v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9" t="n"/>
      <c r="N28" s="38">
        <f>IFERROR(M28/E28,0)</f>
        <v/>
      </c>
      <c r="O28" s="14" t="n"/>
      <c r="P28" s="11" t="n"/>
      <c r="Q28" s="39">
        <f>IF(C28="","",IF(OR(ISNUMBER(SEARCH("HAMR",F28)),ISNUMBER(SEARCH("MAMR",F28)),ISNUMBER(SEARCH("SMR",F28))),"NON-COMPLIANT",IF(H28&lt;&gt;"Y","NO SED",IF(K28="N","TAA FAIL","OK"))))</f>
        <v/>
      </c>
      <c r="R28" s="11" t="n"/>
    </row>
    <row r="29">
      <c r="A29" s="10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9" t="n"/>
      <c r="N29" s="38">
        <f>IFERROR(M29/E29,0)</f>
        <v/>
      </c>
      <c r="O29" s="14" t="n"/>
      <c r="P29" s="11" t="n"/>
      <c r="Q29" s="39">
        <f>IF(C29="","",IF(OR(ISNUMBER(SEARCH("HAMR",F29)),ISNUMBER(SEARCH("MAMR",F29)),ISNUMBER(SEARCH("SMR",F29))),"NON-COMPLIANT",IF(H29&lt;&gt;"Y","NO SED",IF(K29="N","TAA FAIL","OK"))))</f>
        <v/>
      </c>
      <c r="R29" s="11" t="n"/>
    </row>
    <row r="30">
      <c r="A30" s="10" t="n">
        <v>25</v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9" t="n"/>
      <c r="N30" s="38">
        <f>IFERROR(M30/E30,0)</f>
        <v/>
      </c>
      <c r="O30" s="14" t="n"/>
      <c r="P30" s="11" t="n"/>
      <c r="Q30" s="39">
        <f>IF(C30="","",IF(OR(ISNUMBER(SEARCH("HAMR",F30)),ISNUMBER(SEARCH("MAMR",F30)),ISNUMBER(SEARCH("SMR",F30))),"NON-COMPLIANT",IF(H30&lt;&gt;"Y","NO SED",IF(K30="N","TAA FAIL","OK"))))</f>
        <v/>
      </c>
      <c r="R30" s="11" t="n"/>
    </row>
    <row r="32">
      <c r="A32" s="2" t="inlineStr">
        <is>
          <t>Recording tech must read PMR or CMR for HDDs. The Compliant? column flags HAMR / MAMR / SMR automatically, per §3.2.</t>
        </is>
      </c>
    </row>
    <row r="33">
      <c r="A33" s="2" t="inlineStr">
        <is>
          <t>FIPS status: enter '140-2 certified', '140-3 validated', '140-3 compliant', or 'none'. §3.2 accepts 140-2 certified OR 140-3 compliant SEDs. Note FIPS 140-2 certificates moved to historical status in 2026 — confirm ORNL still accepts them.</t>
        </is>
      </c>
    </row>
    <row r="34">
      <c r="A34" s="2" t="inlineStr">
        <is>
          <t>Country of origin drives TAA (§3.1.6). HDD and NAND assembly frequently occurs in non-TAA-designated countries. Get a written country-of-origin statement per part number — do not assume.</t>
        </is>
      </c>
    </row>
    <row r="35">
      <c r="A35" s="2" t="inlineStr">
        <is>
          <t>Endurance matters: scratch is write-heavy and churny. Confirm QLC DWPD covers the projected daily scratch turnover for the full 4–6 year PoP, or use TLC on the write-intensive tier.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18" customWidth="1" min="4" max="4"/>
    <col width="13" customWidth="1" min="5" max="5"/>
    <col width="14" customWidth="1" min="6" max="6"/>
    <col width="11" customWidth="1" min="7" max="7"/>
    <col width="14" customWidth="1" min="8" max="8"/>
    <col width="8" customWidth="1" min="9" max="9"/>
    <col width="16" customWidth="1" min="10" max="10"/>
    <col width="12" customWidth="1" min="11" max="11"/>
    <col width="18" customWidth="1" min="12" max="12"/>
    <col width="40" customWidth="1" min="13" max="13"/>
  </cols>
  <sheetData>
    <row r="1" ht="20" customHeight="1">
      <c r="A1" s="7" t="inlineStr">
        <is>
          <t>NETWORK ADAPTER OPTIONS</t>
        </is>
      </c>
    </row>
    <row r="2">
      <c r="A2" s="2" t="inlineStr">
        <is>
          <t>§1: 'Choice of network adapter.' §3.2 permits 400 GbE or equivalent — Ultra Ethernet, Slingshot, or InfiniBand.</t>
        </is>
      </c>
    </row>
    <row r="4" ht="30" customHeight="1">
      <c r="A4" s="8" t="inlineStr">
        <is>
          <t>ID</t>
        </is>
      </c>
      <c r="B4" s="8" t="inlineStr">
        <is>
          <t>Fabric</t>
        </is>
      </c>
      <c r="C4" s="8" t="inlineStr">
        <is>
          <t>Mfr / model</t>
        </is>
      </c>
      <c r="D4" s="8" t="inlineStr">
        <is>
          <t>Part no.</t>
        </is>
      </c>
      <c r="E4" s="8" t="inlineStr">
        <is>
          <t>Ports/adapter</t>
        </is>
      </c>
      <c r="F4" s="8" t="inlineStr">
        <is>
          <t>Speed per port</t>
        </is>
      </c>
      <c r="G4" s="8" t="inlineStr">
        <is>
          <t>Watts each</t>
        </is>
      </c>
      <c r="H4" s="8" t="inlineStr">
        <is>
          <t>Unit price</t>
        </is>
      </c>
      <c r="I4" s="8" t="inlineStr">
        <is>
          <t>Qty</t>
        </is>
      </c>
      <c r="J4" s="8" t="inlineStr">
        <is>
          <t>Extended price</t>
        </is>
      </c>
      <c r="K4" s="8" t="inlineStr">
        <is>
          <t>Lead time (wks)</t>
        </is>
      </c>
      <c r="L4" s="8" t="inlineStr">
        <is>
          <t>TAA origin</t>
        </is>
      </c>
      <c r="M4" s="8" t="inlineStr">
        <is>
          <t>Notes</t>
        </is>
      </c>
    </row>
    <row r="5">
      <c r="A5" s="25" t="inlineStr">
        <is>
          <t>EX</t>
        </is>
      </c>
      <c r="B5" s="25" t="inlineStr">
        <is>
          <t>400 GbE</t>
        </is>
      </c>
      <c r="C5" s="25" t="inlineStr">
        <is>
          <t>Example NIC</t>
        </is>
      </c>
      <c r="D5" s="25" t="inlineStr">
        <is>
          <t>PN-EXAMPLE</t>
        </is>
      </c>
      <c r="E5" s="25" t="n">
        <v>2</v>
      </c>
      <c r="F5" s="25" t="inlineStr">
        <is>
          <t>400 Gb/s</t>
        </is>
      </c>
      <c r="G5" s="25" t="n">
        <v>75</v>
      </c>
      <c r="H5" s="26" t="n">
        <v>3200</v>
      </c>
      <c r="I5" s="25" t="n">
        <v>30</v>
      </c>
      <c r="J5" s="27">
        <f>IFERROR(H5*I5,0)</f>
        <v/>
      </c>
      <c r="K5" s="25" t="n">
        <v>20</v>
      </c>
      <c r="L5" s="25" t="inlineStr">
        <is>
          <t>Israel</t>
        </is>
      </c>
      <c r="M5" s="25" t="inlineStr">
        <is>
          <t>Example row — overwrite</t>
        </is>
      </c>
    </row>
    <row r="6">
      <c r="A6" s="10" t="n">
        <v>1</v>
      </c>
      <c r="B6" s="11" t="n"/>
      <c r="C6" s="11" t="n"/>
      <c r="D6" s="11" t="n"/>
      <c r="E6" s="11" t="n"/>
      <c r="F6" s="11" t="n"/>
      <c r="G6" s="11" t="n"/>
      <c r="H6" s="19" t="n"/>
      <c r="I6" s="11" t="n"/>
      <c r="J6" s="30">
        <f>IFERROR(H6*I6,0)</f>
        <v/>
      </c>
      <c r="K6" s="11" t="n"/>
      <c r="L6" s="11" t="n"/>
      <c r="M6" s="11" t="n"/>
    </row>
    <row r="7">
      <c r="A7" s="10" t="n">
        <v>2</v>
      </c>
      <c r="B7" s="11" t="n"/>
      <c r="C7" s="11" t="n"/>
      <c r="D7" s="11" t="n"/>
      <c r="E7" s="11" t="n"/>
      <c r="F7" s="11" t="n"/>
      <c r="G7" s="11" t="n"/>
      <c r="H7" s="19" t="n"/>
      <c r="I7" s="11" t="n"/>
      <c r="J7" s="30">
        <f>IFERROR(H7*I7,0)</f>
        <v/>
      </c>
      <c r="K7" s="11" t="n"/>
      <c r="L7" s="11" t="n"/>
      <c r="M7" s="11" t="n"/>
    </row>
    <row r="8">
      <c r="A8" s="10" t="n">
        <v>3</v>
      </c>
      <c r="B8" s="11" t="n"/>
      <c r="C8" s="11" t="n"/>
      <c r="D8" s="11" t="n"/>
      <c r="E8" s="11" t="n"/>
      <c r="F8" s="11" t="n"/>
      <c r="G8" s="11" t="n"/>
      <c r="H8" s="19" t="n"/>
      <c r="I8" s="11" t="n"/>
      <c r="J8" s="30">
        <f>IFERROR(H8*I8,0)</f>
        <v/>
      </c>
      <c r="K8" s="11" t="n"/>
      <c r="L8" s="11" t="n"/>
      <c r="M8" s="11" t="n"/>
    </row>
    <row r="9">
      <c r="A9" s="10" t="n">
        <v>4</v>
      </c>
      <c r="B9" s="11" t="n"/>
      <c r="C9" s="11" t="n"/>
      <c r="D9" s="11" t="n"/>
      <c r="E9" s="11" t="n"/>
      <c r="F9" s="11" t="n"/>
      <c r="G9" s="11" t="n"/>
      <c r="H9" s="19" t="n"/>
      <c r="I9" s="11" t="n"/>
      <c r="J9" s="30">
        <f>IFERROR(H9*I9,0)</f>
        <v/>
      </c>
      <c r="K9" s="11" t="n"/>
      <c r="L9" s="11" t="n"/>
      <c r="M9" s="11" t="n"/>
    </row>
    <row r="10">
      <c r="A10" s="10" t="n">
        <v>5</v>
      </c>
      <c r="B10" s="11" t="n"/>
      <c r="C10" s="11" t="n"/>
      <c r="D10" s="11" t="n"/>
      <c r="E10" s="11" t="n"/>
      <c r="F10" s="11" t="n"/>
      <c r="G10" s="11" t="n"/>
      <c r="H10" s="19" t="n"/>
      <c r="I10" s="11" t="n"/>
      <c r="J10" s="30">
        <f>IFERROR(H10*I10,0)</f>
        <v/>
      </c>
      <c r="K10" s="11" t="n"/>
      <c r="L10" s="11" t="n"/>
      <c r="M10" s="11" t="n"/>
    </row>
    <row r="11">
      <c r="A11" s="10" t="n">
        <v>6</v>
      </c>
      <c r="B11" s="11" t="n"/>
      <c r="C11" s="11" t="n"/>
      <c r="D11" s="11" t="n"/>
      <c r="E11" s="11" t="n"/>
      <c r="F11" s="11" t="n"/>
      <c r="G11" s="11" t="n"/>
      <c r="H11" s="19" t="n"/>
      <c r="I11" s="11" t="n"/>
      <c r="J11" s="30">
        <f>IFERROR(H11*I11,0)</f>
        <v/>
      </c>
      <c r="K11" s="11" t="n"/>
      <c r="L11" s="11" t="n"/>
      <c r="M11" s="11" t="n"/>
    </row>
    <row r="12">
      <c r="A12" s="10" t="n">
        <v>7</v>
      </c>
      <c r="B12" s="11" t="n"/>
      <c r="C12" s="11" t="n"/>
      <c r="D12" s="11" t="n"/>
      <c r="E12" s="11" t="n"/>
      <c r="F12" s="11" t="n"/>
      <c r="G12" s="11" t="n"/>
      <c r="H12" s="19" t="n"/>
      <c r="I12" s="11" t="n"/>
      <c r="J12" s="30">
        <f>IFERROR(H12*I12,0)</f>
        <v/>
      </c>
      <c r="K12" s="11" t="n"/>
      <c r="L12" s="11" t="n"/>
      <c r="M12" s="11" t="n"/>
    </row>
    <row r="13">
      <c r="A13" s="10" t="n">
        <v>8</v>
      </c>
      <c r="B13" s="11" t="n"/>
      <c r="C13" s="11" t="n"/>
      <c r="D13" s="11" t="n"/>
      <c r="E13" s="11" t="n"/>
      <c r="F13" s="11" t="n"/>
      <c r="G13" s="11" t="n"/>
      <c r="H13" s="19" t="n"/>
      <c r="I13" s="11" t="n"/>
      <c r="J13" s="30">
        <f>IFERROR(H13*I13,0)</f>
        <v/>
      </c>
      <c r="K13" s="11" t="n"/>
      <c r="L13" s="11" t="n"/>
      <c r="M13" s="11" t="n"/>
    </row>
    <row r="14">
      <c r="A14" s="10" t="n">
        <v>9</v>
      </c>
      <c r="B14" s="11" t="n"/>
      <c r="C14" s="11" t="n"/>
      <c r="D14" s="11" t="n"/>
      <c r="E14" s="11" t="n"/>
      <c r="F14" s="11" t="n"/>
      <c r="G14" s="11" t="n"/>
      <c r="H14" s="19" t="n"/>
      <c r="I14" s="11" t="n"/>
      <c r="J14" s="30">
        <f>IFERROR(H14*I14,0)</f>
        <v/>
      </c>
      <c r="K14" s="11" t="n"/>
      <c r="L14" s="11" t="n"/>
      <c r="M14" s="11" t="n"/>
    </row>
    <row r="15">
      <c r="A15" s="10" t="n">
        <v>10</v>
      </c>
      <c r="B15" s="11" t="n"/>
      <c r="C15" s="11" t="n"/>
      <c r="D15" s="11" t="n"/>
      <c r="E15" s="11" t="n"/>
      <c r="F15" s="11" t="n"/>
      <c r="G15" s="11" t="n"/>
      <c r="H15" s="19" t="n"/>
      <c r="I15" s="11" t="n"/>
      <c r="J15" s="30">
        <f>IFERROR(H15*I15,0)</f>
        <v/>
      </c>
      <c r="K15" s="11" t="n"/>
      <c r="L15" s="11" t="n"/>
      <c r="M15" s="11" t="n"/>
    </row>
    <row r="16">
      <c r="A16" s="10" t="n">
        <v>11</v>
      </c>
      <c r="B16" s="11" t="n"/>
      <c r="C16" s="11" t="n"/>
      <c r="D16" s="11" t="n"/>
      <c r="E16" s="11" t="n"/>
      <c r="F16" s="11" t="n"/>
      <c r="G16" s="11" t="n"/>
      <c r="H16" s="19" t="n"/>
      <c r="I16" s="11" t="n"/>
      <c r="J16" s="30">
        <f>IFERROR(H16*I16,0)</f>
        <v/>
      </c>
      <c r="K16" s="11" t="n"/>
      <c r="L16" s="11" t="n"/>
      <c r="M16" s="11" t="n"/>
    </row>
    <row r="17">
      <c r="A17" s="10" t="n">
        <v>12</v>
      </c>
      <c r="B17" s="11" t="n"/>
      <c r="C17" s="11" t="n"/>
      <c r="D17" s="11" t="n"/>
      <c r="E17" s="11" t="n"/>
      <c r="F17" s="11" t="n"/>
      <c r="G17" s="11" t="n"/>
      <c r="H17" s="19" t="n"/>
      <c r="I17" s="11" t="n"/>
      <c r="J17" s="30">
        <f>IFERROR(H17*I17,0)</f>
        <v/>
      </c>
      <c r="K17" s="11" t="n"/>
      <c r="L17" s="11" t="n"/>
      <c r="M17" s="11" t="n"/>
    </row>
    <row r="18">
      <c r="A18" s="10" t="n">
        <v>13</v>
      </c>
      <c r="B18" s="11" t="n"/>
      <c r="C18" s="11" t="n"/>
      <c r="D18" s="11" t="n"/>
      <c r="E18" s="11" t="n"/>
      <c r="F18" s="11" t="n"/>
      <c r="G18" s="11" t="n"/>
      <c r="H18" s="19" t="n"/>
      <c r="I18" s="11" t="n"/>
      <c r="J18" s="30">
        <f>IFERROR(H18*I18,0)</f>
        <v/>
      </c>
      <c r="K18" s="11" t="n"/>
      <c r="L18" s="11" t="n"/>
      <c r="M18" s="11" t="n"/>
    </row>
    <row r="19">
      <c r="A19" s="10" t="n">
        <v>14</v>
      </c>
      <c r="B19" s="11" t="n"/>
      <c r="C19" s="11" t="n"/>
      <c r="D19" s="11" t="n"/>
      <c r="E19" s="11" t="n"/>
      <c r="F19" s="11" t="n"/>
      <c r="G19" s="11" t="n"/>
      <c r="H19" s="19" t="n"/>
      <c r="I19" s="11" t="n"/>
      <c r="J19" s="30">
        <f>IFERROR(H19*I19,0)</f>
        <v/>
      </c>
      <c r="K19" s="11" t="n"/>
      <c r="L19" s="11" t="n"/>
      <c r="M19" s="11" t="n"/>
    </row>
    <row r="20">
      <c r="A20" s="10" t="n">
        <v>15</v>
      </c>
      <c r="B20" s="11" t="n"/>
      <c r="C20" s="11" t="n"/>
      <c r="D20" s="11" t="n"/>
      <c r="E20" s="11" t="n"/>
      <c r="F20" s="11" t="n"/>
      <c r="G20" s="11" t="n"/>
      <c r="H20" s="19" t="n"/>
      <c r="I20" s="11" t="n"/>
      <c r="J20" s="30">
        <f>IFERROR(H20*I20,0)</f>
        <v/>
      </c>
      <c r="K20" s="11" t="n"/>
      <c r="L20" s="11" t="n"/>
      <c r="M20" s="11" t="n"/>
    </row>
    <row r="22">
      <c r="A22" s="32" t="inlineStr">
        <is>
          <t>TOTAL</t>
        </is>
      </c>
      <c r="J22" s="33">
        <f>SUM(J6:J20)</f>
        <v/>
      </c>
    </row>
    <row r="24">
      <c r="A24" s="2" t="inlineStr">
        <is>
          <t>Slingshot is HPE-proprietary. If SPECTRE-1's compute fabric is Slingshot, confirm third-party NIC availability and licensing before quoting a non-HPE storage platform against it.</t>
        </is>
      </c>
    </row>
    <row r="25">
      <c r="A25" s="2" t="inlineStr">
        <is>
          <t>Ultra Ethernet silicon is early in 2026–27. If quoting UE, state firmware maturity and interoperability test evidence, and offer 400 GbE as the low-risk alternate.</t>
        </is>
      </c>
    </row>
    <row r="26">
      <c r="A26" s="2" t="inlineStr">
        <is>
          <t>Endpoint count is capped at 120 (§3.2.2) but power caps it lower in practice — each 400G server costs roughly 1.1–1.2 kW against a ~138 kW base-bid budget.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2" customWidth="1" min="4" max="4"/>
    <col width="14" customWidth="1" min="5" max="5"/>
    <col width="17" customWidth="1" min="6" max="6"/>
    <col width="11" customWidth="1" min="7" max="7"/>
    <col width="16" customWidth="1" min="8" max="8"/>
    <col width="12" customWidth="1" min="9" max="9"/>
    <col width="34" customWidth="1" min="10" max="10"/>
  </cols>
  <sheetData>
    <row r="1" ht="20" customHeight="1">
      <c r="A1" s="7" t="inlineStr">
        <is>
          <t>TEST &amp; DEVELOPMENT SYSTEMS</t>
        </is>
      </c>
    </row>
    <row r="2">
      <c r="A2" s="2" t="inlineStr">
        <is>
          <t>§3.2.1: two identical TDS, each a fully functional standalone system with a minimal set of every component in the production design.</t>
        </is>
      </c>
    </row>
    <row r="4" ht="30" customHeight="1">
      <c r="A4" s="8" t="inlineStr">
        <is>
          <t>ID</t>
        </is>
      </c>
      <c r="B4" s="8" t="inlineStr">
        <is>
          <t>Component</t>
        </is>
      </c>
      <c r="C4" s="8" t="inlineStr">
        <is>
          <t>Description</t>
        </is>
      </c>
      <c r="D4" s="8" t="inlineStr">
        <is>
          <t>Qty per TDS</t>
        </is>
      </c>
      <c r="E4" s="8" t="inlineStr">
        <is>
          <t>Unit price</t>
        </is>
      </c>
      <c r="F4" s="8" t="inlineStr">
        <is>
          <t>Extended per TDS</t>
        </is>
      </c>
      <c r="G4" s="8" t="inlineStr">
        <is>
          <t>No. of TDS</t>
        </is>
      </c>
      <c r="H4" s="8" t="inlineStr">
        <is>
          <t>Total</t>
        </is>
      </c>
      <c r="I4" s="8" t="inlineStr">
        <is>
          <t>Lead time (wks)</t>
        </is>
      </c>
      <c r="J4" s="8" t="inlineStr">
        <is>
          <t>Notes</t>
        </is>
      </c>
    </row>
    <row r="5">
      <c r="A5" s="10" t="n">
        <v>1</v>
      </c>
      <c r="B5" s="17" t="inlineStr">
        <is>
          <t>Metadata / management server</t>
        </is>
      </c>
      <c r="C5" s="14" t="n"/>
      <c r="D5" s="11" t="n"/>
      <c r="E5" s="19" t="n"/>
      <c r="F5" s="30">
        <f>IFERROR(D5*E5,0)</f>
        <v/>
      </c>
      <c r="G5" s="11" t="n">
        <v>2</v>
      </c>
      <c r="H5" s="30">
        <f>IFERROR(F5*G5,0)</f>
        <v/>
      </c>
      <c r="I5" s="11" t="n"/>
      <c r="J5" s="11" t="n"/>
    </row>
    <row r="6">
      <c r="A6" s="10" t="n">
        <v>2</v>
      </c>
      <c r="B6" s="17" t="inlineStr">
        <is>
          <t>Flash SSU (minimum viable)</t>
        </is>
      </c>
      <c r="C6" s="14" t="n"/>
      <c r="D6" s="11" t="n"/>
      <c r="E6" s="19" t="n"/>
      <c r="F6" s="30">
        <f>IFERROR(D6*E6,0)</f>
        <v/>
      </c>
      <c r="G6" s="11" t="n">
        <v>2</v>
      </c>
      <c r="H6" s="30">
        <f>IFERROR(F6*G6,0)</f>
        <v/>
      </c>
      <c r="I6" s="11" t="n"/>
      <c r="J6" s="11" t="n"/>
    </row>
    <row r="7">
      <c r="A7" s="10" t="n">
        <v>3</v>
      </c>
      <c r="B7" s="17" t="inlineStr">
        <is>
          <t>HDD SSU (minimum viable, hybrid only)</t>
        </is>
      </c>
      <c r="C7" s="14" t="n"/>
      <c r="D7" s="11" t="n"/>
      <c r="E7" s="19" t="n"/>
      <c r="F7" s="30">
        <f>IFERROR(D7*E7,0)</f>
        <v/>
      </c>
      <c r="G7" s="11" t="n">
        <v>2</v>
      </c>
      <c r="H7" s="30">
        <f>IFERROR(F7*G7,0)</f>
        <v/>
      </c>
      <c r="I7" s="11" t="n"/>
      <c r="J7" s="11" t="n"/>
    </row>
    <row r="8">
      <c r="A8" s="10" t="n">
        <v>4</v>
      </c>
      <c r="B8" s="17" t="inlineStr">
        <is>
          <t>Provisioning / cluster management server</t>
        </is>
      </c>
      <c r="C8" s="14" t="n"/>
      <c r="D8" s="11" t="n"/>
      <c r="E8" s="19" t="n"/>
      <c r="F8" s="30">
        <f>IFERROR(D8*E8,0)</f>
        <v/>
      </c>
      <c r="G8" s="11" t="n">
        <v>2</v>
      </c>
      <c r="H8" s="30">
        <f>IFERROR(F8*G8,0)</f>
        <v/>
      </c>
      <c r="I8" s="11" t="n"/>
      <c r="J8" s="11" t="n"/>
    </row>
    <row r="9">
      <c r="A9" s="10" t="n">
        <v>5</v>
      </c>
      <c r="B9" s="17" t="inlineStr">
        <is>
          <t>High-speed network adapters</t>
        </is>
      </c>
      <c r="C9" s="14" t="n"/>
      <c r="D9" s="11" t="n"/>
      <c r="E9" s="19" t="n"/>
      <c r="F9" s="30">
        <f>IFERROR(D9*E9,0)</f>
        <v/>
      </c>
      <c r="G9" s="11" t="n">
        <v>2</v>
      </c>
      <c r="H9" s="30">
        <f>IFERROR(F9*G9,0)</f>
        <v/>
      </c>
      <c r="I9" s="11" t="n"/>
      <c r="J9" s="11" t="n"/>
    </row>
    <row r="10">
      <c r="A10" s="10" t="n">
        <v>6</v>
      </c>
      <c r="B10" s="17" t="inlineStr">
        <is>
          <t>Top-of-rack management switching</t>
        </is>
      </c>
      <c r="C10" s="14" t="n"/>
      <c r="D10" s="11" t="n"/>
      <c r="E10" s="19" t="n"/>
      <c r="F10" s="30">
        <f>IFERROR(D10*E10,0)</f>
        <v/>
      </c>
      <c r="G10" s="11" t="n">
        <v>2</v>
      </c>
      <c r="H10" s="30">
        <f>IFERROR(F10*G10,0)</f>
        <v/>
      </c>
      <c r="I10" s="11" t="n"/>
      <c r="J10" s="11" t="n"/>
    </row>
    <row r="11">
      <c r="A11" s="10" t="n">
        <v>7</v>
      </c>
      <c r="B11" s="17" t="inlineStr">
        <is>
          <t>Cabinet, PDUs, rails</t>
        </is>
      </c>
      <c r="C11" s="14" t="n"/>
      <c r="D11" s="11" t="n"/>
      <c r="E11" s="19" t="n"/>
      <c r="F11" s="30">
        <f>IFERROR(D11*E11,0)</f>
        <v/>
      </c>
      <c r="G11" s="11" t="n">
        <v>2</v>
      </c>
      <c r="H11" s="30">
        <f>IFERROR(F11*G11,0)</f>
        <v/>
      </c>
      <c r="I11" s="11" t="n"/>
      <c r="J11" s="11" t="n"/>
    </row>
    <row r="12">
      <c r="A12" s="10" t="n">
        <v>8</v>
      </c>
      <c r="B12" s="17" t="inlineStr">
        <is>
          <t>Rear Door Heat Exchanger</t>
        </is>
      </c>
      <c r="C12" s="14" t="n"/>
      <c r="D12" s="11" t="n"/>
      <c r="E12" s="19" t="n"/>
      <c r="F12" s="30">
        <f>IFERROR(D12*E12,0)</f>
        <v/>
      </c>
      <c r="G12" s="11" t="n">
        <v>2</v>
      </c>
      <c r="H12" s="30">
        <f>IFERROR(F12*G12,0)</f>
        <v/>
      </c>
      <c r="I12" s="11" t="n"/>
      <c r="J12" s="11" t="n"/>
    </row>
    <row r="13">
      <c r="A13" s="10" t="n">
        <v>9</v>
      </c>
      <c r="B13" s="17" t="inlineStr">
        <is>
          <t>File system + HA + RHEL licensing</t>
        </is>
      </c>
      <c r="C13" s="14" t="n"/>
      <c r="D13" s="11" t="n"/>
      <c r="E13" s="19" t="n"/>
      <c r="F13" s="30">
        <f>IFERROR(D13*E13,0)</f>
        <v/>
      </c>
      <c r="G13" s="11" t="n">
        <v>2</v>
      </c>
      <c r="H13" s="30">
        <f>IFERROR(F13*G13,0)</f>
        <v/>
      </c>
      <c r="I13" s="11" t="n"/>
      <c r="J13" s="11" t="n"/>
    </row>
    <row r="14">
      <c r="A14" s="10" t="n">
        <v>10</v>
      </c>
      <c r="B14" s="17" t="inlineStr">
        <is>
          <t>Installation &amp; integration</t>
        </is>
      </c>
      <c r="C14" s="14" t="n"/>
      <c r="D14" s="11" t="n"/>
      <c r="E14" s="19" t="n"/>
      <c r="F14" s="30">
        <f>IFERROR(D14*E14,0)</f>
        <v/>
      </c>
      <c r="G14" s="11" t="n">
        <v>2</v>
      </c>
      <c r="H14" s="30">
        <f>IFERROR(F14*G14,0)</f>
        <v/>
      </c>
      <c r="I14" s="11" t="n"/>
      <c r="J14" s="11" t="n"/>
    </row>
    <row r="15">
      <c r="A15" s="10" t="n">
        <v>11</v>
      </c>
      <c r="B15" s="17" t="inlineStr">
        <is>
          <t>Cabling &amp; optics</t>
        </is>
      </c>
      <c r="C15" s="14" t="n"/>
      <c r="D15" s="11" t="n"/>
      <c r="E15" s="19" t="n"/>
      <c r="F15" s="30">
        <f>IFERROR(D15*E15,0)</f>
        <v/>
      </c>
      <c r="G15" s="11" t="n">
        <v>2</v>
      </c>
      <c r="H15" s="30">
        <f>IFERROR(F15*G15,0)</f>
        <v/>
      </c>
      <c r="I15" s="11" t="n"/>
      <c r="J15" s="11" t="n"/>
    </row>
    <row r="20">
      <c r="A20" s="32" t="inlineStr">
        <is>
          <t>TOTAL — BOTH TDS</t>
        </is>
      </c>
      <c r="H20" s="33">
        <f>SUM(H5:H15)</f>
        <v/>
      </c>
    </row>
    <row r="22">
      <c r="A22" s="2" t="inlineStr">
        <is>
          <t>One TDS occupies the 17th rack at 5300-DC and counts against the 275 kW cap. The second TDS location is not stated in Attachment C — submit a clarification question before pricing site work for it.</t>
        </is>
      </c>
    </row>
    <row r="23">
      <c r="A23" s="2" t="inlineStr">
        <is>
          <t>§3.2.1: TDS support co-terminates with the production COMPUTE partition, not with this storage contract. Confirm that end date before pricing the support line.</t>
        </is>
      </c>
    </row>
    <row r="24">
      <c r="A24" s="2" t="inlineStr">
        <is>
          <t>§5.2: TDS hardware may NOT be used as the spare parts cache. Price spares separately.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</cols>
  <sheetData>
    <row r="1" ht="20" customHeight="1">
      <c r="A1" s="7" t="inlineStr">
        <is>
          <t>SUPPORT &amp; MAINTENANCE</t>
        </is>
      </c>
    </row>
    <row r="2">
      <c r="A2" s="2" t="inlineStr">
        <is>
          <t>§5 — quoted by the OEM. Four-year base with separately priced 5th-year, 6th-year and deferred-maintenance options.</t>
        </is>
      </c>
    </row>
    <row r="4" ht="30" customHeight="1">
      <c r="A4" s="8" t="inlineStr">
        <is>
          <t>ID</t>
        </is>
      </c>
      <c r="B4" s="8" t="inlineStr">
        <is>
          <t>Item</t>
        </is>
      </c>
      <c r="C4" s="8" t="inlineStr">
        <is>
          <t>RFP ref</t>
        </is>
      </c>
      <c r="D4" s="8" t="inlineStr">
        <is>
          <t>Year 1</t>
        </is>
      </c>
      <c r="E4" s="8" t="inlineStr">
        <is>
          <t>Year 2</t>
        </is>
      </c>
      <c r="F4" s="8" t="inlineStr">
        <is>
          <t>Year 3</t>
        </is>
      </c>
      <c r="G4" s="8" t="inlineStr">
        <is>
          <t>Year 4</t>
        </is>
      </c>
      <c r="H4" s="8" t="inlineStr">
        <is>
          <t>Yr 5 (option)</t>
        </is>
      </c>
      <c r="I4" s="8" t="inlineStr">
        <is>
          <t>Yr 6 (option)</t>
        </is>
      </c>
      <c r="J4" s="8" t="inlineStr">
        <is>
          <t>Total</t>
        </is>
      </c>
    </row>
    <row r="5">
      <c r="A5" s="10" t="n">
        <v>1</v>
      </c>
      <c r="B5" s="17" t="inlineStr">
        <is>
          <t>Hardware maintenance — production system</t>
        </is>
      </c>
      <c r="C5" s="10" t="inlineStr">
        <is>
          <t>§5</t>
        </is>
      </c>
      <c r="D5" s="19" t="n"/>
      <c r="E5" s="19" t="n"/>
      <c r="F5" s="19" t="n"/>
      <c r="G5" s="19" t="n"/>
      <c r="H5" s="19" t="n"/>
      <c r="I5" s="19" t="n"/>
      <c r="J5" s="30">
        <f>SUM(D5:I5)</f>
        <v/>
      </c>
    </row>
    <row r="6">
      <c r="A6" s="10" t="n">
        <v>2</v>
      </c>
      <c r="B6" s="17" t="inlineStr">
        <is>
          <t>Hardware maintenance — TDS (x2)</t>
        </is>
      </c>
      <c r="C6" s="10" t="inlineStr">
        <is>
          <t>§3.2.1</t>
        </is>
      </c>
      <c r="D6" s="19" t="n"/>
      <c r="E6" s="19" t="n"/>
      <c r="F6" s="19" t="n"/>
      <c r="G6" s="19" t="n"/>
      <c r="H6" s="19" t="n"/>
      <c r="I6" s="19" t="n"/>
      <c r="J6" s="30">
        <f>SUM(D6:I6)</f>
        <v/>
      </c>
    </row>
    <row r="7">
      <c r="A7" s="10" t="n">
        <v>3</v>
      </c>
      <c r="B7" s="17" t="inlineStr">
        <is>
          <t>File system software licensing &amp; support</t>
        </is>
      </c>
      <c r="C7" s="10" t="inlineStr">
        <is>
          <t>§5.4</t>
        </is>
      </c>
      <c r="D7" s="19" t="n"/>
      <c r="E7" s="19" t="n"/>
      <c r="F7" s="19" t="n"/>
      <c r="G7" s="19" t="n"/>
      <c r="H7" s="19" t="n"/>
      <c r="I7" s="19" t="n"/>
      <c r="J7" s="30">
        <f>SUM(D7:I7)</f>
        <v/>
      </c>
    </row>
    <row r="8">
      <c r="A8" s="10" t="n">
        <v>4</v>
      </c>
      <c r="B8" s="17" t="inlineStr">
        <is>
          <t>High-availability (HA) licensing</t>
        </is>
      </c>
      <c r="C8" s="10" t="inlineStr">
        <is>
          <t>§5.4</t>
        </is>
      </c>
      <c r="D8" s="19" t="n"/>
      <c r="E8" s="19" t="n"/>
      <c r="F8" s="19" t="n"/>
      <c r="G8" s="19" t="n"/>
      <c r="H8" s="19" t="n"/>
      <c r="I8" s="19" t="n"/>
      <c r="J8" s="30">
        <f>SUM(D8:I8)</f>
        <v/>
      </c>
    </row>
    <row r="9">
      <c r="A9" s="10" t="n">
        <v>5</v>
      </c>
      <c r="B9" s="17" t="inlineStr">
        <is>
          <t>RHEL licensing &amp; support</t>
        </is>
      </c>
      <c r="C9" s="10" t="inlineStr">
        <is>
          <t>§5</t>
        </is>
      </c>
      <c r="D9" s="19" t="n"/>
      <c r="E9" s="19" t="n"/>
      <c r="F9" s="19" t="n"/>
      <c r="G9" s="19" t="n"/>
      <c r="H9" s="19" t="n"/>
      <c r="I9" s="19" t="n"/>
      <c r="J9" s="30">
        <f>SUM(D9:I9)</f>
        <v/>
      </c>
    </row>
    <row r="10">
      <c r="A10" s="10" t="n">
        <v>6</v>
      </c>
      <c r="B10" s="17" t="inlineStr">
        <is>
          <t>Quarterly system updates &amp; security patching</t>
        </is>
      </c>
      <c r="C10" s="10" t="inlineStr">
        <is>
          <t>§5</t>
        </is>
      </c>
      <c r="D10" s="19" t="n"/>
      <c r="E10" s="19" t="n"/>
      <c r="F10" s="19" t="n"/>
      <c r="G10" s="19" t="n"/>
      <c r="H10" s="19" t="n"/>
      <c r="I10" s="19" t="n"/>
      <c r="J10" s="30">
        <f>SUM(D10:I10)</f>
        <v/>
      </c>
    </row>
    <row r="11">
      <c r="A11" s="10" t="n">
        <v>7</v>
      </c>
      <c r="B11" s="17" t="inlineStr">
        <is>
          <t>Critical/High CVSS v4 remediation within 30 days</t>
        </is>
      </c>
      <c r="C11" s="10" t="inlineStr">
        <is>
          <t>§3.1.8</t>
        </is>
      </c>
      <c r="D11" s="19" t="n"/>
      <c r="E11" s="19" t="n"/>
      <c r="F11" s="19" t="n"/>
      <c r="G11" s="19" t="n"/>
      <c r="H11" s="19" t="n"/>
      <c r="I11" s="19" t="n"/>
      <c r="J11" s="30">
        <f>SUM(D11:I11)</f>
        <v/>
      </c>
    </row>
    <row r="12">
      <c r="A12" s="10" t="n">
        <v>8</v>
      </c>
      <c r="B12" s="17" t="inlineStr">
        <is>
          <t>Remote technical support</t>
        </is>
      </c>
      <c r="C12" s="10" t="inlineStr">
        <is>
          <t>§5</t>
        </is>
      </c>
      <c r="D12" s="19" t="n"/>
      <c r="E12" s="19" t="n"/>
      <c r="F12" s="19" t="n"/>
      <c r="G12" s="19" t="n"/>
      <c r="H12" s="19" t="n"/>
      <c r="I12" s="19" t="n"/>
      <c r="J12" s="30">
        <f>SUM(D12:I12)</f>
        <v/>
      </c>
    </row>
    <row r="13">
      <c r="A13" s="10" t="n">
        <v>9</v>
      </c>
      <c r="B13" s="17" t="inlineStr">
        <is>
          <t>On-site technical support</t>
        </is>
      </c>
      <c r="C13" s="10" t="inlineStr">
        <is>
          <t>§5</t>
        </is>
      </c>
      <c r="D13" s="19" t="n"/>
      <c r="E13" s="19" t="n"/>
      <c r="F13" s="19" t="n"/>
      <c r="G13" s="19" t="n"/>
      <c r="H13" s="19" t="n"/>
      <c r="I13" s="19" t="n"/>
      <c r="J13" s="30">
        <f>SUM(D13:I13)</f>
        <v/>
      </c>
    </row>
    <row r="14">
      <c r="A14" s="10" t="n">
        <v>10</v>
      </c>
      <c r="B14" s="17" t="inlineStr">
        <is>
          <t>On-site parts cache — initial stocking</t>
        </is>
      </c>
      <c r="C14" s="10" t="inlineStr">
        <is>
          <t>§5.2</t>
        </is>
      </c>
      <c r="D14" s="19" t="n"/>
      <c r="E14" s="19" t="n"/>
      <c r="F14" s="19" t="n"/>
      <c r="G14" s="19" t="n"/>
      <c r="H14" s="19" t="n"/>
      <c r="I14" s="19" t="n"/>
      <c r="J14" s="30">
        <f>SUM(D14:I14)</f>
        <v/>
      </c>
    </row>
    <row r="15">
      <c r="A15" s="10" t="n">
        <v>11</v>
      </c>
      <c r="B15" s="17" t="inlineStr">
        <is>
          <t>On-site parts cache — refresh</t>
        </is>
      </c>
      <c r="C15" s="10" t="inlineStr">
        <is>
          <t>§5.2</t>
        </is>
      </c>
      <c r="D15" s="19" t="n"/>
      <c r="E15" s="19" t="n"/>
      <c r="F15" s="19" t="n"/>
      <c r="G15" s="19" t="n"/>
      <c r="H15" s="19" t="n"/>
      <c r="I15" s="19" t="n"/>
      <c r="J15" s="30">
        <f>SUM(D15:I15)</f>
        <v/>
      </c>
    </row>
    <row r="16">
      <c r="A16" s="10" t="n">
        <v>12</v>
      </c>
      <c r="B16" s="17" t="inlineStr">
        <is>
          <t>Hardware retention / no-return service (all FRUs)</t>
        </is>
      </c>
      <c r="C16" s="10" t="inlineStr">
        <is>
          <t>§5.3</t>
        </is>
      </c>
      <c r="D16" s="19" t="n"/>
      <c r="E16" s="19" t="n"/>
      <c r="F16" s="19" t="n"/>
      <c r="G16" s="19" t="n"/>
      <c r="H16" s="19" t="n"/>
      <c r="I16" s="19" t="n"/>
      <c r="J16" s="30">
        <f>SUM(D16:I16)</f>
        <v/>
      </c>
    </row>
    <row r="17">
      <c r="A17" s="10" t="n">
        <v>13</v>
      </c>
      <c r="B17" s="17" t="inlineStr">
        <is>
          <t>Performance optimization &amp; monitoring services</t>
        </is>
      </c>
      <c r="C17" s="10" t="inlineStr">
        <is>
          <t>§5</t>
        </is>
      </c>
      <c r="D17" s="19" t="n"/>
      <c r="E17" s="19" t="n"/>
      <c r="F17" s="19" t="n"/>
      <c r="G17" s="19" t="n"/>
      <c r="H17" s="19" t="n"/>
      <c r="I17" s="19" t="n"/>
      <c r="J17" s="30">
        <f>SUM(D17:I17)</f>
        <v/>
      </c>
    </row>
    <row r="18">
      <c r="A18" s="10" t="n">
        <v>14</v>
      </c>
      <c r="B18" s="17" t="inlineStr">
        <is>
          <t>On-site System Software Analyst (DOE Q-cleared)</t>
        </is>
      </c>
      <c r="C18" s="10" t="inlineStr">
        <is>
          <t>§5.5</t>
        </is>
      </c>
      <c r="D18" s="19" t="n"/>
      <c r="E18" s="19" t="n"/>
      <c r="F18" s="19" t="n"/>
      <c r="G18" s="19" t="n"/>
      <c r="H18" s="19" t="n"/>
      <c r="I18" s="19" t="n"/>
      <c r="J18" s="30">
        <f>SUM(D18:I18)</f>
        <v/>
      </c>
    </row>
    <row r="20">
      <c r="A20" s="14" t="n"/>
      <c r="B20" s="17" t="inlineStr">
        <is>
          <t>Deferred maintenance option (§5.1) — describe &amp; price</t>
        </is>
      </c>
      <c r="C20" s="14" t="n"/>
      <c r="D20" s="19" t="n"/>
      <c r="E20" s="19" t="n"/>
      <c r="F20" s="19" t="n"/>
      <c r="G20" s="19" t="n"/>
      <c r="H20" s="19" t="n"/>
      <c r="I20" s="19" t="n"/>
      <c r="J20" s="40">
        <f>SUM(D20:I20)</f>
        <v/>
      </c>
    </row>
    <row r="22">
      <c r="B22" s="32" t="inlineStr">
        <is>
          <t>TOTALS</t>
        </is>
      </c>
      <c r="D22" s="33">
        <f>SUM(D5:D20)</f>
        <v/>
      </c>
      <c r="E22" s="33">
        <f>SUM(E5:E20)</f>
        <v/>
      </c>
      <c r="F22" s="33">
        <f>SUM(F5:F20)</f>
        <v/>
      </c>
      <c r="G22" s="33">
        <f>SUM(G5:G20)</f>
        <v/>
      </c>
      <c r="H22" s="33">
        <f>SUM(H5:H20)</f>
        <v/>
      </c>
      <c r="I22" s="33">
        <f>SUM(I5:I20)</f>
        <v/>
      </c>
      <c r="J22" s="33">
        <f>SUM(J5:J20)</f>
        <v/>
      </c>
    </row>
    <row r="24">
      <c r="B24" s="2" t="inlineStr">
        <is>
          <t>§5.1: years 5 and 6 must be priced at the standard four-year rate.</t>
        </is>
      </c>
    </row>
    <row r="25">
      <c r="B25" s="2" t="inlineStr">
        <is>
          <t>§5.1: the maintenance period begins upon successful Acceptance (Q2CY2027), but the draft subcontract PoP starts 12/15/2026. Submit a clarification question and price to the answer.</t>
        </is>
      </c>
    </row>
    <row r="26">
      <c r="B26" s="2" t="inlineStr">
        <is>
          <t>§5.3: no hardware leaves the site — ORNL destroys it. Every FRU needs a retention/no-return service, and you get no failure-analysis feedback, so size the parts cache conservatively.</t>
        </is>
      </c>
    </row>
    <row r="27">
      <c r="B27" s="2" t="inlineStr">
        <is>
          <t>§5.2: the cache must sustain all repair actions for two weeks with no refresh, and must include hot spare NODES of every proposed type.</t>
        </is>
      </c>
    </row>
    <row r="28">
      <c r="B28" s="2" t="inlineStr">
        <is>
          <t>§3.1.8 is a contractual SLA on third-party dependencies, not just your own code. In an air-gapped classified enclave, a 30-day patch cycle needs a defined media-transfer process — price the labor.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7" customWidth="1" min="4" max="4"/>
    <col width="17" customWidth="1" min="5" max="5"/>
    <col width="12" customWidth="1" min="6" max="6"/>
    <col width="18" customWidth="1" min="7" max="7"/>
    <col width="40" customWidth="1" min="8" max="8"/>
  </cols>
  <sheetData>
    <row r="1" ht="20" customHeight="1">
      <c r="A1" s="7" t="inlineStr">
        <is>
          <t>SERVICES &amp; DELIVERABLES</t>
        </is>
      </c>
    </row>
    <row r="2">
      <c r="A2" s="2" t="inlineStr">
        <is>
          <t>The documentation and services package. Price these explicitly — the ATO and SCRM artifacts alone are hundreds of hours.</t>
        </is>
      </c>
    </row>
    <row r="4" ht="30" customHeight="1">
      <c r="A4" s="8" t="inlineStr">
        <is>
          <t>ID</t>
        </is>
      </c>
      <c r="B4" s="8" t="inlineStr">
        <is>
          <t>Deliverable</t>
        </is>
      </c>
      <c r="C4" s="8" t="inlineStr">
        <is>
          <t>RFP ref</t>
        </is>
      </c>
      <c r="D4" s="8" t="inlineStr">
        <is>
          <t>In hardware price?</t>
        </is>
      </c>
      <c r="E4" s="8" t="inlineStr">
        <is>
          <t>Separately priced</t>
        </is>
      </c>
      <c r="F4" s="8" t="inlineStr">
        <is>
          <t>Est. hours</t>
        </is>
      </c>
      <c r="G4" s="8" t="inlineStr">
        <is>
          <t>Owner</t>
        </is>
      </c>
      <c r="H4" s="8" t="inlineStr">
        <is>
          <t>Notes</t>
        </is>
      </c>
    </row>
    <row r="5">
      <c r="A5" s="10" t="n">
        <v>1</v>
      </c>
      <c r="B5" s="17" t="inlineStr">
        <is>
          <t>Site Preparation Plan (within 30 days of award)</t>
        </is>
      </c>
      <c r="C5" s="10" t="inlineStr">
        <is>
          <t>§8.3</t>
        </is>
      </c>
      <c r="D5" s="11" t="n"/>
      <c r="E5" s="19" t="n"/>
      <c r="F5" s="11" t="n"/>
      <c r="G5" s="11" t="n"/>
      <c r="H5" s="11" t="n"/>
    </row>
    <row r="6">
      <c r="A6" s="10" t="n">
        <v>2</v>
      </c>
      <c r="B6" s="17" t="inlineStr">
        <is>
          <t>Maintenance &amp; Support Plan (30 days before first delivery)</t>
        </is>
      </c>
      <c r="C6" s="10" t="inlineStr">
        <is>
          <t>§8.4</t>
        </is>
      </c>
      <c r="D6" s="11" t="n"/>
      <c r="E6" s="19" t="n"/>
      <c r="F6" s="11" t="n"/>
      <c r="G6" s="11" t="n"/>
      <c r="H6" s="11" t="n"/>
    </row>
    <row r="7">
      <c r="A7" s="10" t="n">
        <v>3</v>
      </c>
      <c r="B7" s="17" t="inlineStr">
        <is>
          <t>Proposed delivery / installation / acceptance schedule</t>
        </is>
      </c>
      <c r="C7" s="10" t="inlineStr">
        <is>
          <t>§8.2</t>
        </is>
      </c>
      <c r="D7" s="11" t="n"/>
      <c r="E7" s="19" t="n"/>
      <c r="F7" s="11" t="n"/>
      <c r="G7" s="11" t="n"/>
      <c r="H7" s="11" t="n"/>
    </row>
    <row r="8">
      <c r="A8" s="10" t="n">
        <v>4</v>
      </c>
      <c r="B8" s="17" t="inlineStr">
        <is>
          <t>Executive Liaison &amp; Technical Project Manager assignment</t>
        </is>
      </c>
      <c r="C8" s="10" t="inlineStr">
        <is>
          <t>§8.2</t>
        </is>
      </c>
      <c r="D8" s="11" t="n"/>
      <c r="E8" s="19" t="n"/>
      <c r="F8" s="11" t="n"/>
      <c r="G8" s="11" t="n"/>
      <c r="H8" s="11" t="n"/>
    </row>
    <row r="9">
      <c r="A9" s="10" t="n">
        <v>5</v>
      </c>
      <c r="B9" s="17" t="inlineStr">
        <is>
          <t>Delivery, uncrating, inspection, staging, mounting, packaging removal</t>
        </is>
      </c>
      <c r="C9" s="10" t="inlineStr">
        <is>
          <t>§6, §7.2</t>
        </is>
      </c>
      <c r="D9" s="11" t="n"/>
      <c r="E9" s="19" t="n"/>
      <c r="F9" s="11" t="n"/>
      <c r="G9" s="11" t="n"/>
      <c r="H9" s="11" t="n"/>
    </row>
    <row r="10">
      <c r="A10" s="10" t="n">
        <v>6</v>
      </c>
      <c r="B10" s="17" t="inlineStr">
        <is>
          <t>RDHX supply, delivery, mounting, hose &amp; control valve connection</t>
        </is>
      </c>
      <c r="C10" s="10" t="inlineStr">
        <is>
          <t>§7.2</t>
        </is>
      </c>
      <c r="D10" s="11" t="n"/>
      <c r="E10" s="19" t="n"/>
      <c r="F10" s="11" t="n"/>
      <c r="G10" s="11" t="n"/>
      <c r="H10" s="11" t="n"/>
    </row>
    <row r="11">
      <c r="A11" s="10" t="n">
        <v>7</v>
      </c>
      <c r="B11" s="17" t="inlineStr">
        <is>
          <t>Cable management — overhead electrical to equipment</t>
        </is>
      </c>
      <c r="C11" s="10" t="inlineStr">
        <is>
          <t>§7.1</t>
        </is>
      </c>
      <c r="D11" s="11" t="n"/>
      <c r="E11" s="19" t="n"/>
      <c r="F11" s="11" t="n"/>
      <c r="G11" s="11" t="n"/>
      <c r="H11" s="11" t="n"/>
    </row>
    <row r="12">
      <c r="A12" s="10" t="n">
        <v>8</v>
      </c>
      <c r="B12" s="17" t="inlineStr">
        <is>
          <t>Cable management — cabinet-to-cabinet network (optical/STP)</t>
        </is>
      </c>
      <c r="C12" s="10" t="inlineStr">
        <is>
          <t>§3.1.4, §7.1</t>
        </is>
      </c>
      <c r="D12" s="11" t="n"/>
      <c r="E12" s="19" t="n"/>
      <c r="F12" s="11" t="n"/>
      <c r="G12" s="11" t="n"/>
      <c r="H12" s="11" t="n"/>
    </row>
    <row r="13">
      <c r="A13" s="10" t="n">
        <v>9</v>
      </c>
      <c r="B13" s="17" t="inlineStr">
        <is>
          <t>Security Control Implementation Statements — all 800-53 High controls</t>
        </is>
      </c>
      <c r="C13" s="10" t="inlineStr">
        <is>
          <t>§3.1.13</t>
        </is>
      </c>
      <c r="D13" s="11" t="n"/>
      <c r="E13" s="19" t="n"/>
      <c r="F13" s="11" t="n"/>
      <c r="G13" s="11" t="n"/>
      <c r="H13" s="11" t="n"/>
    </row>
    <row r="14">
      <c r="A14" s="10" t="n">
        <v>10</v>
      </c>
      <c r="B14" s="17" t="inlineStr">
        <is>
          <t>System Security Plan (asset inventory, boundaries, network diagrams)</t>
        </is>
      </c>
      <c r="C14" s="10" t="inlineStr">
        <is>
          <t>§3.1.13</t>
        </is>
      </c>
      <c r="D14" s="11" t="n"/>
      <c r="E14" s="19" t="n"/>
      <c r="F14" s="11" t="n"/>
      <c r="G14" s="11" t="n"/>
      <c r="H14" s="11" t="n"/>
    </row>
    <row r="15">
      <c r="A15" s="10" t="n">
        <v>11</v>
      </c>
      <c r="B15" s="17" t="inlineStr">
        <is>
          <t>Configuration Management Plan</t>
        </is>
      </c>
      <c r="C15" s="10" t="inlineStr">
        <is>
          <t>§3.1.13</t>
        </is>
      </c>
      <c r="D15" s="11" t="n"/>
      <c r="E15" s="19" t="n"/>
      <c r="F15" s="11" t="n"/>
      <c r="G15" s="11" t="n"/>
      <c r="H15" s="11" t="n"/>
    </row>
    <row r="16">
      <c r="A16" s="10" t="n">
        <v>12</v>
      </c>
      <c r="B16" s="17" t="inlineStr">
        <is>
          <t>Incident Response Plan</t>
        </is>
      </c>
      <c r="C16" s="10" t="inlineStr">
        <is>
          <t>§3.1.13</t>
        </is>
      </c>
      <c r="D16" s="11" t="n"/>
      <c r="E16" s="19" t="n"/>
      <c r="F16" s="11" t="n"/>
      <c r="G16" s="11" t="n"/>
      <c r="H16" s="11" t="n"/>
    </row>
    <row r="17">
      <c r="A17" s="10" t="n">
        <v>13</v>
      </c>
      <c r="B17" s="17" t="inlineStr">
        <is>
          <t>SCRM Policy and SOP</t>
        </is>
      </c>
      <c r="C17" s="10" t="inlineStr">
        <is>
          <t>§3.1.9</t>
        </is>
      </c>
      <c r="D17" s="11" t="n"/>
      <c r="E17" s="19" t="n"/>
      <c r="F17" s="11" t="n"/>
      <c r="G17" s="11" t="n"/>
      <c r="H17" s="11" t="n"/>
    </row>
    <row r="18">
      <c r="A18" s="10" t="n">
        <v>14</v>
      </c>
      <c r="B18" s="17" t="inlineStr">
        <is>
          <t>Supplier Risk Register and Scorecards</t>
        </is>
      </c>
      <c r="C18" s="10" t="inlineStr">
        <is>
          <t>§3.1.9</t>
        </is>
      </c>
      <c r="D18" s="11" t="n"/>
      <c r="E18" s="19" t="n"/>
      <c r="F18" s="11" t="n"/>
      <c r="G18" s="11" t="n"/>
      <c r="H18" s="11" t="n"/>
    </row>
    <row r="19">
      <c r="A19" s="10" t="n">
        <v>15</v>
      </c>
      <c r="B19" s="17" t="inlineStr">
        <is>
          <t>Component Authenticity Logs &amp; Firmware Integrity Scans</t>
        </is>
      </c>
      <c r="C19" s="10" t="inlineStr">
        <is>
          <t>§3.1.9</t>
        </is>
      </c>
      <c r="D19" s="11" t="n"/>
      <c r="E19" s="19" t="n"/>
      <c r="F19" s="11" t="n"/>
      <c r="G19" s="11" t="n"/>
      <c r="H19" s="11" t="n"/>
    </row>
    <row r="20">
      <c r="A20" s="10" t="n">
        <v>16</v>
      </c>
      <c r="B20" s="17" t="inlineStr">
        <is>
          <t>SDLC checklists &amp; secure configuration baselines</t>
        </is>
      </c>
      <c r="C20" s="10" t="inlineStr">
        <is>
          <t>§3.1.12</t>
        </is>
      </c>
      <c r="D20" s="11" t="n"/>
      <c r="E20" s="19" t="n"/>
      <c r="F20" s="11" t="n"/>
      <c r="G20" s="11" t="n"/>
      <c r="H20" s="11" t="n"/>
    </row>
    <row r="21">
      <c r="A21" s="10" t="n">
        <v>17</v>
      </c>
      <c r="B21" s="17" t="inlineStr">
        <is>
          <t>Sample SOWs including cyber clauses</t>
        </is>
      </c>
      <c r="C21" s="10" t="inlineStr">
        <is>
          <t>§3.1.12</t>
        </is>
      </c>
      <c r="D21" s="11" t="n"/>
      <c r="E21" s="19" t="n"/>
      <c r="F21" s="11" t="n"/>
      <c r="G21" s="11" t="n"/>
      <c r="H21" s="11" t="n"/>
    </row>
    <row r="22">
      <c r="A22" s="10" t="n">
        <v>18</v>
      </c>
      <c r="B22" s="17" t="inlineStr">
        <is>
          <t>STIG &amp; SCAP scans on all nodes and network equipment + reports</t>
        </is>
      </c>
      <c r="C22" s="10" t="inlineStr">
        <is>
          <t>§3.1.14</t>
        </is>
      </c>
      <c r="D22" s="11" t="n"/>
      <c r="E22" s="19" t="n"/>
      <c r="F22" s="11" t="n"/>
      <c r="G22" s="11" t="n"/>
      <c r="H22" s="11" t="n"/>
    </row>
    <row r="23">
      <c r="A23" s="10" t="n">
        <v>19</v>
      </c>
      <c r="B23" s="17" t="inlineStr">
        <is>
          <t>Audit logging validation (AU control family)</t>
        </is>
      </c>
      <c r="C23" s="10" t="inlineStr">
        <is>
          <t>§3.1.14</t>
        </is>
      </c>
      <c r="D23" s="11" t="n"/>
      <c r="E23" s="19" t="n"/>
      <c r="F23" s="11" t="n"/>
      <c r="G23" s="11" t="n"/>
      <c r="H23" s="11" t="n"/>
    </row>
    <row r="24">
      <c r="A24" s="10" t="n">
        <v>20</v>
      </c>
      <c r="B24" s="17" t="inlineStr">
        <is>
          <t>Recommended testing procedures for the Company</t>
        </is>
      </c>
      <c r="C24" s="10" t="inlineStr">
        <is>
          <t>§3.1.14</t>
        </is>
      </c>
      <c r="D24" s="11" t="n"/>
      <c r="E24" s="19" t="n"/>
      <c r="F24" s="11" t="n"/>
      <c r="G24" s="11" t="n"/>
      <c r="H24" s="11" t="n"/>
    </row>
    <row r="25">
      <c r="A25" s="10" t="n">
        <v>21</v>
      </c>
      <c r="B25" s="17" t="inlineStr">
        <is>
          <t>Acceptance test support — IOR, mdtest, injected failures, stability</t>
        </is>
      </c>
      <c r="C25" s="10" t="inlineStr">
        <is>
          <t>§4.2, §8.5</t>
        </is>
      </c>
      <c r="D25" s="11" t="n"/>
      <c r="E25" s="19" t="n"/>
      <c r="F25" s="11" t="n"/>
      <c r="G25" s="11" t="n"/>
      <c r="H25" s="11" t="n"/>
    </row>
    <row r="26">
      <c r="A26" s="10" t="n">
        <v>22</v>
      </c>
      <c r="B26" s="17" t="inlineStr">
        <is>
          <t>Aged-namespace (70%) benchmark characterization</t>
        </is>
      </c>
      <c r="C26" s="10" t="inlineStr">
        <is>
          <t>§4.2</t>
        </is>
      </c>
      <c r="D26" s="11" t="n"/>
      <c r="E26" s="19" t="n"/>
      <c r="F26" s="11" t="n"/>
      <c r="G26" s="11" t="n"/>
      <c r="H26" s="11" t="n"/>
    </row>
    <row r="27">
      <c r="A27" s="10" t="n">
        <v>23</v>
      </c>
      <c r="B27" s="17" t="inlineStr">
        <is>
          <t>Interface documentation, procedures &amp; drawings</t>
        </is>
      </c>
      <c r="C27" s="10" t="inlineStr">
        <is>
          <t>§5.6</t>
        </is>
      </c>
      <c r="D27" s="11" t="n"/>
      <c r="E27" s="19" t="n"/>
      <c r="F27" s="11" t="n"/>
      <c r="G27" s="11" t="n"/>
      <c r="H27" s="11" t="n"/>
    </row>
    <row r="28">
      <c r="A28" s="10" t="n">
        <v>24</v>
      </c>
      <c r="B28" s="17" t="inlineStr">
        <is>
          <t>Activity Hazard Analysis (AHA)</t>
        </is>
      </c>
      <c r="C28" s="10" t="inlineStr">
        <is>
          <t>Attach. F</t>
        </is>
      </c>
      <c r="D28" s="11" t="n"/>
      <c r="E28" s="19" t="n"/>
      <c r="F28" s="11" t="n"/>
      <c r="G28" s="11" t="n"/>
      <c r="H28" s="11" t="n"/>
    </row>
    <row r="30">
      <c r="B30" s="32" t="inlineStr">
        <is>
          <t>TOTAL</t>
        </is>
      </c>
      <c r="E30" s="33">
        <f>SUM(E5:E28)</f>
        <v/>
      </c>
      <c r="F30" s="34">
        <f>SUM(F5:F28)</f>
        <v/>
      </c>
    </row>
    <row r="32">
      <c r="B32" s="2" t="inlineStr">
        <is>
          <t>The RDHX scope (§7.2) is a mechanical contractor's work, not a storage OEM's. Identify the partner and price it before bid, including BACnet/IP integration and leak-detection commissioning.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8" customWidth="1" min="4" max="4"/>
    <col width="12" customWidth="1" min="5" max="5"/>
    <col width="40" customWidth="1" min="6" max="6"/>
    <col width="44" customWidth="1" min="7" max="7"/>
    <col width="30" customWidth="1" min="8" max="8"/>
  </cols>
  <sheetData>
    <row r="1" ht="20" customHeight="1">
      <c r="A1" s="7" t="inlineStr">
        <is>
          <t>LEAD TIME &amp; SCHEDULE RISK</t>
        </is>
      </c>
    </row>
    <row r="2">
      <c r="A2" s="2" t="inlineStr">
        <is>
          <t>§1 invites alternative delivery schedules to mitigate long-lead risk. PPI §2.3 governs. Delivery Q1CY2027 / Acceptance Q2CY2027.</t>
        </is>
      </c>
    </row>
    <row r="4" ht="30" customHeight="1">
      <c r="A4" s="8" t="inlineStr">
        <is>
          <t>ID</t>
        </is>
      </c>
      <c r="B4" s="8" t="inlineStr">
        <is>
          <t>Component</t>
        </is>
      </c>
      <c r="C4" s="8" t="inlineStr">
        <is>
          <t>Configs affected</t>
        </is>
      </c>
      <c r="D4" s="8" t="inlineStr">
        <is>
          <t>Quoted lead time (wks)</t>
        </is>
      </c>
      <c r="E4" s="8" t="inlineStr">
        <is>
          <t>Risk (H/M/L)</t>
        </is>
      </c>
      <c r="F4" s="8" t="inlineStr">
        <is>
          <t>Driver</t>
        </is>
      </c>
      <c r="G4" s="8" t="inlineStr">
        <is>
          <t>Mitigation / alternative schedule</t>
        </is>
      </c>
      <c r="H4" s="8" t="inlineStr">
        <is>
          <t>Notes</t>
        </is>
      </c>
    </row>
    <row r="5" ht="30" customHeight="1">
      <c r="A5" s="10" t="n">
        <v>1</v>
      </c>
      <c r="B5" s="17" t="inlineStr">
        <is>
          <t>Nearline CMR HDDs (24–26 TB)</t>
        </is>
      </c>
      <c r="C5" s="10" t="inlineStr">
        <is>
          <t>All-HDD, Hybrid</t>
        </is>
      </c>
      <c r="D5" s="11" t="n"/>
      <c r="E5" s="11" t="n"/>
      <c r="F5" s="41" t="inlineStr">
        <is>
          <t>Nearline capacity heavily booked through 2026; CMR SKUs are a shrinking share of production as vendors shift to HAMR/SMR</t>
        </is>
      </c>
      <c r="G5" s="11" t="n"/>
      <c r="H5" s="11" t="n"/>
    </row>
    <row r="6" ht="30" customHeight="1">
      <c r="A6" s="10" t="n">
        <v>2</v>
      </c>
      <c r="B6" s="17" t="inlineStr">
        <is>
          <t>High-capacity QLC NAND</t>
        </is>
      </c>
      <c r="C6" s="10" t="inlineStr">
        <is>
          <t>All-Flash, Hybrid</t>
        </is>
      </c>
      <c r="D6" s="11" t="n"/>
      <c r="E6" s="11" t="n"/>
      <c r="F6" s="41" t="inlineStr">
        <is>
          <t>NAND allocation and pricing pressure through 2026; the RFP itself cites long lead times for memory technologies</t>
        </is>
      </c>
      <c r="G6" s="11" t="n"/>
      <c r="H6" s="11" t="n"/>
    </row>
    <row r="7" ht="30" customHeight="1">
      <c r="A7" s="10" t="n">
        <v>3</v>
      </c>
      <c r="B7" s="17" t="inlineStr">
        <is>
          <t>FIPS SED variants of top-capacity drives</t>
        </is>
      </c>
      <c r="C7" s="10" t="inlineStr">
        <is>
          <t>All</t>
        </is>
      </c>
      <c r="D7" s="11" t="n"/>
      <c r="E7" s="11" t="n"/>
      <c r="F7" s="41" t="inlineStr">
        <is>
          <t>SED/FIPS SKUs historically trail the leading capacity by a generation</t>
        </is>
      </c>
      <c r="G7" s="11" t="n"/>
      <c r="H7" s="11" t="n"/>
    </row>
    <row r="8" ht="30" customHeight="1">
      <c r="A8" s="10" t="n">
        <v>4</v>
      </c>
      <c r="B8" s="17" t="inlineStr">
        <is>
          <t>DRAM (uniform ECC DIMM FRU)</t>
        </is>
      </c>
      <c r="C8" s="10" t="inlineStr">
        <is>
          <t>All</t>
        </is>
      </c>
      <c r="D8" s="11" t="n"/>
      <c r="E8" s="11" t="n"/>
      <c r="F8" s="41" t="inlineStr">
        <is>
          <t>Memory market conditions cited in §1</t>
        </is>
      </c>
      <c r="G8" s="11" t="n"/>
      <c r="H8" s="11" t="n"/>
    </row>
    <row r="9" ht="30" customHeight="1">
      <c r="A9" s="10" t="n">
        <v>5</v>
      </c>
      <c r="B9" s="17" t="inlineStr">
        <is>
          <t>400G NICs / Slingshot adapters</t>
        </is>
      </c>
      <c r="C9" s="10" t="inlineStr">
        <is>
          <t>All</t>
        </is>
      </c>
      <c r="D9" s="11" t="n"/>
      <c r="E9" s="11" t="n"/>
      <c r="F9" s="41" t="inlineStr">
        <is>
          <t>Fabric choice may be gated on the SPECTRE-1 compute award</t>
        </is>
      </c>
      <c r="G9" s="11" t="n"/>
      <c r="H9" s="11" t="n"/>
    </row>
    <row r="10" ht="30" customHeight="1">
      <c r="A10" s="10" t="n">
        <v>6</v>
      </c>
      <c r="B10" s="17" t="inlineStr">
        <is>
          <t>Ultra Ethernet silicon</t>
        </is>
      </c>
      <c r="C10" s="10" t="inlineStr">
        <is>
          <t>All</t>
        </is>
      </c>
      <c r="D10" s="11" t="n"/>
      <c r="E10" s="11" t="n"/>
      <c r="F10" s="41" t="inlineStr">
        <is>
          <t>Early-generation availability and firmware maturity in 2026–27</t>
        </is>
      </c>
      <c r="G10" s="11" t="n"/>
      <c r="H10" s="11" t="n"/>
    </row>
    <row r="11" ht="30" customHeight="1">
      <c r="A11" s="10" t="n">
        <v>7</v>
      </c>
      <c r="B11" s="17" t="inlineStr">
        <is>
          <t>Storage controllers / server platforms</t>
        </is>
      </c>
      <c r="C11" s="10" t="inlineStr">
        <is>
          <t>All</t>
        </is>
      </c>
      <c r="D11" s="11" t="n"/>
      <c r="E11" s="11" t="n"/>
      <c r="F11" s="41" t="inlineStr">
        <is>
          <t>Platform generation transition</t>
        </is>
      </c>
      <c r="G11" s="11" t="n"/>
      <c r="H11" s="11" t="n"/>
    </row>
    <row r="12" ht="30" customHeight="1">
      <c r="A12" s="10" t="n">
        <v>8</v>
      </c>
      <c r="B12" s="17" t="inlineStr">
        <is>
          <t>Cabinets, PDUs (port-switchable, locking, watertight)</t>
        </is>
      </c>
      <c r="C12" s="10" t="inlineStr">
        <is>
          <t>All</t>
        </is>
      </c>
      <c r="D12" s="11" t="n"/>
      <c r="E12" s="11" t="n"/>
      <c r="F12" s="41" t="inlineStr">
        <is>
          <t>Non-standard PDU spec per §7.1</t>
        </is>
      </c>
      <c r="G12" s="11" t="n"/>
      <c r="H12" s="11" t="n"/>
    </row>
    <row r="13" ht="30" customHeight="1">
      <c r="A13" s="10" t="n">
        <v>9</v>
      </c>
      <c r="B13" s="17" t="inlineStr">
        <is>
          <t>Rear Door Heat Exchangers</t>
        </is>
      </c>
      <c r="C13" s="10" t="inlineStr">
        <is>
          <t>All</t>
        </is>
      </c>
      <c r="D13" s="11" t="n"/>
      <c r="E13" s="11" t="n"/>
      <c r="F13" s="41" t="inlineStr">
        <is>
          <t>Custom spec: 1in sanitary, BACnet/IP, leak detect w/ shutdown, fail-closed</t>
        </is>
      </c>
      <c r="G13" s="11" t="n"/>
      <c r="H13" s="11" t="n"/>
    </row>
    <row r="14" ht="30" customHeight="1">
      <c r="A14" s="10" t="n">
        <v>10</v>
      </c>
      <c r="B14" s="17" t="inlineStr">
        <is>
          <t>Optical cable &amp; transceivers (inter-cabinet)</t>
        </is>
      </c>
      <c r="C14" s="10" t="inlineStr">
        <is>
          <t>All</t>
        </is>
      </c>
      <c r="D14" s="11" t="n"/>
      <c r="E14" s="11" t="n"/>
      <c r="F14" s="41" t="inlineStr">
        <is>
          <t>§3.1.4 forbids passive copper DAC between cabinets</t>
        </is>
      </c>
      <c r="G14" s="11" t="n"/>
      <c r="H14" s="11" t="n"/>
    </row>
    <row r="17">
      <c r="B17" s="24" t="inlineStr">
        <is>
          <t>§1: 'Offerors can also propose alternative system delivery schedules to mitigate schedule risks.' A phased delivery — metadata and flash tier first, capacity tier second — protects the Q2CY2027 acceptance date and is worth offering explicitly.</t>
        </is>
      </c>
    </row>
    <row r="18"/>
  </sheetData>
  <mergeCells count="1">
    <mergeCell ref="B17:G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2" customWidth="1" min="2" max="2"/>
    <col width="20" customWidth="1" min="3" max="3"/>
    <col width="30" customWidth="1" min="4" max="4"/>
    <col width="44" customWidth="1" min="5" max="5"/>
    <col width="44" customWidth="1" min="6" max="6"/>
    <col width="16" customWidth="1" min="7" max="7"/>
    <col width="12" customWidth="1" min="8" max="8"/>
  </cols>
  <sheetData>
    <row r="1" ht="20" customHeight="1">
      <c r="A1" s="7" t="inlineStr">
        <is>
          <t>COMPLIANCE MATRIX</t>
        </is>
      </c>
    </row>
    <row r="2">
      <c r="A2" s="2" t="inlineStr">
        <is>
          <t>§3: any requirement not met must be identified with a discrepancy description, justification, and proposed mitigation or alternative.</t>
        </is>
      </c>
    </row>
    <row r="4" ht="30" customHeight="1">
      <c r="A4" s="8" t="inlineStr">
        <is>
          <t>RFP §</t>
        </is>
      </c>
      <c r="B4" s="8" t="inlineStr">
        <is>
          <t>Requirement</t>
        </is>
      </c>
      <c r="C4" s="8" t="inlineStr">
        <is>
          <t>Comply / Exception / Alternative</t>
        </is>
      </c>
      <c r="D4" s="8" t="inlineStr">
        <is>
          <t>Evidence or reference</t>
        </is>
      </c>
      <c r="E4" s="8" t="inlineStr">
        <is>
          <t>Discrepancy &amp; justification (required if Exception)</t>
        </is>
      </c>
      <c r="F4" s="8" t="inlineStr">
        <is>
          <t>Proposed mitigation / alternative</t>
        </is>
      </c>
      <c r="G4" s="8" t="inlineStr">
        <is>
          <t>Owner</t>
        </is>
      </c>
      <c r="H4" s="8" t="inlineStr">
        <is>
          <t>Status</t>
        </is>
      </c>
    </row>
    <row r="5" ht="26" customHeight="1">
      <c r="A5" s="42" t="inlineStr">
        <is>
          <t>3.1.1</t>
        </is>
      </c>
      <c r="B5" s="43" t="inlineStr">
        <is>
          <t>NIST SP 800-53 Rev 5 High baseline, tailored for DoW systems</t>
        </is>
      </c>
      <c r="C5" s="44" t="n"/>
      <c r="D5" s="44" t="n"/>
      <c r="E5" s="44" t="n"/>
      <c r="F5" s="44" t="n"/>
      <c r="G5" s="44" t="n"/>
      <c r="H5" s="44" t="n"/>
    </row>
    <row r="6" ht="26" customHeight="1">
      <c r="A6" s="42" t="inlineStr">
        <is>
          <t>3.1.1</t>
        </is>
      </c>
      <c r="B6" s="43" t="inlineStr">
        <is>
          <t>NIST SP 800-223 (HPC Security)</t>
        </is>
      </c>
      <c r="C6" s="44" t="n"/>
      <c r="D6" s="44" t="n"/>
      <c r="E6" s="44" t="n"/>
      <c r="F6" s="44" t="n"/>
      <c r="G6" s="44" t="n"/>
      <c r="H6" s="44" t="n"/>
    </row>
    <row r="7" ht="26" customHeight="1">
      <c r="A7" s="42" t="inlineStr">
        <is>
          <t>3.1.1</t>
        </is>
      </c>
      <c r="B7" s="43" t="inlineStr">
        <is>
          <t>NIST SP 800-207 (Zero Trust Architecture)</t>
        </is>
      </c>
      <c r="C7" s="44" t="n"/>
      <c r="D7" s="44" t="n"/>
      <c r="E7" s="44" t="n"/>
      <c r="F7" s="44" t="n"/>
      <c r="G7" s="44" t="n"/>
      <c r="H7" s="44" t="n"/>
    </row>
    <row r="8" ht="26" customHeight="1">
      <c r="A8" s="42" t="inlineStr">
        <is>
          <t>3.1.1</t>
        </is>
      </c>
      <c r="B8" s="43" t="inlineStr">
        <is>
          <t>NIST SP 800-216 (Vulnerability Disclosure)</t>
        </is>
      </c>
      <c r="C8" s="44" t="n"/>
      <c r="D8" s="44" t="n"/>
      <c r="E8" s="44" t="n"/>
      <c r="F8" s="44" t="n"/>
      <c r="G8" s="44" t="n"/>
      <c r="H8" s="44" t="n"/>
    </row>
    <row r="9" ht="26" customHeight="1">
      <c r="A9" s="42" t="inlineStr">
        <is>
          <t>3.1.1</t>
        </is>
      </c>
      <c r="B9" s="43" t="inlineStr">
        <is>
          <t>NIST SP 800-193 (Platform Firmware Resiliency)</t>
        </is>
      </c>
      <c r="C9" s="44" t="n"/>
      <c r="D9" s="44" t="n"/>
      <c r="E9" s="44" t="n"/>
      <c r="F9" s="44" t="n"/>
      <c r="G9" s="44" t="n"/>
      <c r="H9" s="44" t="n"/>
    </row>
    <row r="10" ht="26" customHeight="1">
      <c r="A10" s="42" t="inlineStr">
        <is>
          <t>3.1.1</t>
        </is>
      </c>
      <c r="B10" s="43" t="inlineStr">
        <is>
          <t>NIST SP 800-161 (Cybersecurity Supply Chain Risk)</t>
        </is>
      </c>
      <c r="C10" s="44" t="n"/>
      <c r="D10" s="44" t="n"/>
      <c r="E10" s="44" t="n"/>
      <c r="F10" s="44" t="n"/>
      <c r="G10" s="44" t="n"/>
      <c r="H10" s="44" t="n"/>
    </row>
    <row r="11" ht="26" customHeight="1">
      <c r="A11" s="42" t="inlineStr">
        <is>
          <t>3.1.1</t>
        </is>
      </c>
      <c r="B11" s="43" t="inlineStr">
        <is>
          <t>FIPS 140-3 and SP 800-52 / 800-57 / 800-131A for cryptography</t>
        </is>
      </c>
      <c r="C11" s="44" t="n"/>
      <c r="D11" s="44" t="n"/>
      <c r="E11" s="44" t="n"/>
      <c r="F11" s="44" t="n"/>
      <c r="G11" s="44" t="n"/>
      <c r="H11" s="44" t="n"/>
    </row>
    <row r="12" ht="26" customHeight="1">
      <c r="A12" s="42" t="inlineStr">
        <is>
          <t>3.1.2</t>
        </is>
      </c>
      <c r="B12" s="43" t="inlineStr">
        <is>
          <t>Data encrypted at rest</t>
        </is>
      </c>
      <c r="C12" s="44" t="n"/>
      <c r="D12" s="44" t="n"/>
      <c r="E12" s="44" t="n"/>
      <c r="F12" s="44" t="n"/>
      <c r="G12" s="44" t="n"/>
      <c r="H12" s="44" t="n"/>
    </row>
    <row r="13" ht="26" customHeight="1">
      <c r="A13" s="42" t="inlineStr">
        <is>
          <t>3.1.3</t>
        </is>
      </c>
      <c r="B13" s="43" t="inlineStr">
        <is>
          <t>Data encrypted in transit where technically feasible; describe exceptions</t>
        </is>
      </c>
      <c r="C13" s="44" t="n"/>
      <c r="D13" s="44" t="n"/>
      <c r="E13" s="44" t="n"/>
      <c r="F13" s="44" t="n"/>
      <c r="G13" s="44" t="n"/>
      <c r="H13" s="44" t="n"/>
    </row>
    <row r="14" ht="26" customHeight="1">
      <c r="A14" s="42" t="inlineStr">
        <is>
          <t>3.1.4</t>
        </is>
      </c>
      <c r="B14" s="43" t="inlineStr">
        <is>
          <t>All inter-cabinet cables optical or shielded twisted pair; intra-node optical preferred</t>
        </is>
      </c>
      <c r="C14" s="44" t="n"/>
      <c r="D14" s="44" t="n"/>
      <c r="E14" s="44" t="n"/>
      <c r="F14" s="44" t="n"/>
      <c r="G14" s="44" t="n"/>
      <c r="H14" s="44" t="n"/>
    </row>
    <row r="15" ht="26" customHeight="1">
      <c r="A15" s="42" t="inlineStr">
        <is>
          <t>3.1.5</t>
        </is>
      </c>
      <c r="B15" s="43" t="inlineStr">
        <is>
          <t>FIPS 140-3 compliant and/or NSA-approved cryptographic algorithms</t>
        </is>
      </c>
      <c r="C15" s="44" t="n"/>
      <c r="D15" s="44" t="n"/>
      <c r="E15" s="44" t="n"/>
      <c r="F15" s="44" t="n"/>
      <c r="G15" s="44" t="n"/>
      <c r="H15" s="44" t="n"/>
    </row>
    <row r="16" ht="26" customHeight="1">
      <c r="A16" s="42" t="inlineStr">
        <is>
          <t>3.1.6</t>
        </is>
      </c>
      <c r="B16" s="43" t="inlineStr">
        <is>
          <t>TAA compliance — all hardware, software and integrated components (19 U.S.C. 2501–2581)</t>
        </is>
      </c>
      <c r="C16" s="44" t="n"/>
      <c r="D16" s="44" t="n"/>
      <c r="E16" s="44" t="n"/>
      <c r="F16" s="44" t="n"/>
      <c r="G16" s="44" t="n"/>
      <c r="H16" s="44" t="n"/>
    </row>
    <row r="17" ht="26" customHeight="1">
      <c r="A17" s="42" t="inlineStr">
        <is>
          <t>3.1.7</t>
        </is>
      </c>
      <c r="B17" s="43" t="inlineStr">
        <is>
          <t>System capable of full ATO under RMF once transitioned to DoW; supply all supporting artifacts</t>
        </is>
      </c>
      <c r="C17" s="44" t="n"/>
      <c r="D17" s="44" t="n"/>
      <c r="E17" s="44" t="n"/>
      <c r="F17" s="44" t="n"/>
      <c r="G17" s="44" t="n"/>
      <c r="H17" s="44" t="n"/>
    </row>
    <row r="18" ht="26" customHeight="1">
      <c r="A18" s="42" t="inlineStr">
        <is>
          <t>3.1.8</t>
        </is>
      </c>
      <c r="B18" s="43" t="inlineStr">
        <is>
          <t>Active software support for full operational lifetime; Critical/High CVSS v4 fixes within 30 days</t>
        </is>
      </c>
      <c r="C18" s="44" t="n"/>
      <c r="D18" s="44" t="n"/>
      <c r="E18" s="44" t="n"/>
      <c r="F18" s="44" t="n"/>
      <c r="G18" s="44" t="n"/>
      <c r="H18" s="44" t="n"/>
    </row>
    <row r="19" ht="26" customHeight="1">
      <c r="A19" s="42" t="inlineStr">
        <is>
          <t>3.1.9</t>
        </is>
      </c>
      <c r="B19" s="43" t="inlineStr">
        <is>
          <t>SCRM strategy aligned to NIST SE-1 through SE-3, with register, scorecards and authenticity logs</t>
        </is>
      </c>
      <c r="C19" s="44" t="n"/>
      <c r="D19" s="44" t="n"/>
      <c r="E19" s="44" t="n"/>
      <c r="F19" s="44" t="n"/>
      <c r="G19" s="44" t="n"/>
      <c r="H19" s="44" t="n"/>
    </row>
    <row r="20" ht="26" customHeight="1">
      <c r="A20" s="42" t="inlineStr">
        <is>
          <t>3.1.10</t>
        </is>
      </c>
      <c r="B20" s="43" t="inlineStr">
        <is>
          <t>Secure boot and firmware controls; DISA STIG and SCAP compatibility; secure OS/hypervisor config</t>
        </is>
      </c>
      <c r="C20" s="44" t="n"/>
      <c r="D20" s="44" t="n"/>
      <c r="E20" s="44" t="n"/>
      <c r="F20" s="44" t="n"/>
      <c r="G20" s="44" t="n"/>
      <c r="H20" s="44" t="n"/>
    </row>
    <row r="21" ht="26" customHeight="1">
      <c r="A21" s="42" t="inlineStr">
        <is>
          <t>3.1.11</t>
        </is>
      </c>
      <c r="B21" s="43" t="inlineStr">
        <is>
          <t>All personnel — staff, vendors and subcontractors — are US citizens</t>
        </is>
      </c>
      <c r="C21" s="44" t="n"/>
      <c r="D21" s="44" t="n"/>
      <c r="E21" s="44" t="n"/>
      <c r="F21" s="44" t="n"/>
      <c r="G21" s="44" t="n"/>
      <c r="H21" s="44" t="n"/>
    </row>
    <row r="22" ht="26" customHeight="1">
      <c r="A22" s="42" t="inlineStr">
        <is>
          <t>3.1.12</t>
        </is>
      </c>
      <c r="B22" s="43" t="inlineStr">
        <is>
          <t>Formal secure SDLC with security checkpoints; version control, RBAC, audit trails</t>
        </is>
      </c>
      <c r="C22" s="44" t="n"/>
      <c r="D22" s="44" t="n"/>
      <c r="E22" s="44" t="n"/>
      <c r="F22" s="44" t="n"/>
      <c r="G22" s="44" t="n"/>
      <c r="H22" s="44" t="n"/>
    </row>
    <row r="23" ht="26" customHeight="1">
      <c r="A23" s="42" t="inlineStr">
        <is>
          <t>3.1.13</t>
        </is>
      </c>
      <c r="B23" s="43" t="inlineStr">
        <is>
          <t>SCIS, SSP, CM Plan, IR Plan delivered at system delivery</t>
        </is>
      </c>
      <c r="C23" s="44" t="n"/>
      <c r="D23" s="44" t="n"/>
      <c r="E23" s="44" t="n"/>
      <c r="F23" s="44" t="n"/>
      <c r="G23" s="44" t="n"/>
      <c r="H23" s="44" t="n"/>
    </row>
    <row r="24" ht="26" customHeight="1">
      <c r="A24" s="42" t="inlineStr">
        <is>
          <t>3.1.14</t>
        </is>
      </c>
      <c r="B24" s="43" t="inlineStr">
        <is>
          <t>Pre-handoff audit: STIG/SCAP scans, AU-family logging validation, test procedures</t>
        </is>
      </c>
      <c r="C24" s="44" t="n"/>
      <c r="D24" s="44" t="n"/>
      <c r="E24" s="44" t="n"/>
      <c r="F24" s="44" t="n"/>
      <c r="G24" s="44" t="n"/>
      <c r="H24" s="44" t="n"/>
    </row>
    <row r="25" ht="26" customHeight="1">
      <c r="A25" s="42" t="inlineStr">
        <is>
          <t>3.2</t>
        </is>
      </c>
      <c r="B25" s="43" t="inlineStr">
        <is>
          <t>SSU modular building blocks</t>
        </is>
      </c>
      <c r="C25" s="44" t="n"/>
      <c r="D25" s="44" t="n"/>
      <c r="E25" s="44" t="n"/>
      <c r="F25" s="44" t="n"/>
      <c r="G25" s="44" t="n"/>
      <c r="H25" s="44" t="n"/>
    </row>
    <row r="26" ht="26" customHeight="1">
      <c r="A26" s="42" t="inlineStr">
        <is>
          <t>3.2</t>
        </is>
      </c>
      <c r="B26" s="43" t="inlineStr">
        <is>
          <t>Highly available: redundant chassis components, power and software</t>
        </is>
      </c>
      <c r="C26" s="44" t="n"/>
      <c r="D26" s="44" t="n"/>
      <c r="E26" s="44" t="n"/>
      <c r="F26" s="44" t="n"/>
      <c r="G26" s="44" t="n"/>
      <c r="H26" s="44" t="n"/>
    </row>
    <row r="27" ht="26" customHeight="1">
      <c r="A27" s="42" t="inlineStr">
        <is>
          <t>3.2</t>
        </is>
      </c>
      <c r="B27" s="43" t="inlineStr">
        <is>
          <t>ECC DIMMs of a uniform FRU type</t>
        </is>
      </c>
      <c r="C27" s="44" t="n"/>
      <c r="D27" s="44" t="n"/>
      <c r="E27" s="44" t="n"/>
      <c r="F27" s="44" t="n"/>
      <c r="G27" s="44" t="n"/>
      <c r="H27" s="44" t="n"/>
    </row>
    <row r="28" ht="26" customHeight="1">
      <c r="A28" s="42" t="inlineStr">
        <is>
          <t>3.2</t>
        </is>
      </c>
      <c r="B28" s="43" t="inlineStr">
        <is>
          <t>HSN integration — 400 GbE or equivalent (UE, Slingshot, InfiniBand)</t>
        </is>
      </c>
      <c r="C28" s="44" t="n"/>
      <c r="D28" s="44" t="n"/>
      <c r="E28" s="44" t="n"/>
      <c r="F28" s="44" t="n"/>
      <c r="G28" s="44" t="n"/>
      <c r="H28" s="44" t="n"/>
    </row>
    <row r="29" ht="26" customHeight="1">
      <c r="A29" s="42" t="inlineStr">
        <is>
          <t>3.2</t>
        </is>
      </c>
      <c r="B29" s="43" t="inlineStr">
        <is>
          <t>PMR/CMR HDDs only — HAMR, MAMR and Shingled not permitted</t>
        </is>
      </c>
      <c r="C29" s="44" t="n"/>
      <c r="D29" s="44" t="n"/>
      <c r="E29" s="44" t="n"/>
      <c r="F29" s="44" t="n"/>
      <c r="G29" s="44" t="n"/>
      <c r="H29" s="44" t="n"/>
    </row>
    <row r="30" ht="26" customHeight="1">
      <c r="A30" s="42" t="inlineStr">
        <is>
          <t>3.2</t>
        </is>
      </c>
      <c r="B30" s="43" t="inlineStr">
        <is>
          <t>FIPS 140-2 certified or 140-3 compliant self-encrypting drives on all storage media</t>
        </is>
      </c>
      <c r="C30" s="44" t="n"/>
      <c r="D30" s="44" t="n"/>
      <c r="E30" s="44" t="n"/>
      <c r="F30" s="44" t="n"/>
      <c r="G30" s="44" t="n"/>
      <c r="H30" s="44" t="n"/>
    </row>
    <row r="31" ht="26" customHeight="1">
      <c r="A31" s="42" t="inlineStr">
        <is>
          <t>3.2</t>
        </is>
      </c>
      <c r="B31" s="43" t="inlineStr">
        <is>
          <t>Hot-swappable media, fans and power supplies where feasible</t>
        </is>
      </c>
      <c r="C31" s="44" t="n"/>
      <c r="D31" s="44" t="n"/>
      <c r="E31" s="44" t="n"/>
      <c r="F31" s="44" t="n"/>
      <c r="G31" s="44" t="n"/>
      <c r="H31" s="44" t="n"/>
    </row>
    <row r="32" ht="26" customHeight="1">
      <c r="A32" s="42" t="inlineStr">
        <is>
          <t>3.2</t>
        </is>
      </c>
      <c r="B32" s="43" t="inlineStr">
        <is>
          <t>Base proposal occupies 50% of production floorspace; remainder priced as SSU options</t>
        </is>
      </c>
      <c r="C32" s="44" t="n"/>
      <c r="D32" s="44" t="n"/>
      <c r="E32" s="44" t="n"/>
      <c r="F32" s="44" t="n"/>
      <c r="G32" s="44" t="n"/>
      <c r="H32" s="44" t="n"/>
    </row>
    <row r="33" ht="26" customHeight="1">
      <c r="A33" s="42" t="inlineStr">
        <is>
          <t>3.2.1</t>
        </is>
      </c>
      <c r="B33" s="43" t="inlineStr">
        <is>
          <t>Two identical Test &amp; Development Systems, each fully functional and standalone</t>
        </is>
      </c>
      <c r="C33" s="44" t="n"/>
      <c r="D33" s="44" t="n"/>
      <c r="E33" s="44" t="n"/>
      <c r="F33" s="44" t="n"/>
      <c r="G33" s="44" t="n"/>
      <c r="H33" s="44" t="n"/>
    </row>
    <row r="34" ht="26" customHeight="1">
      <c r="A34" s="42" t="inlineStr">
        <is>
          <t>3.2.2</t>
        </is>
      </c>
      <c r="B34" s="43" t="inlineStr">
        <is>
          <t>Single POSIX-compliant namespace</t>
        </is>
      </c>
      <c r="C34" s="44" t="n"/>
      <c r="D34" s="44" t="n"/>
      <c r="E34" s="44" t="n"/>
      <c r="F34" s="44" t="n"/>
      <c r="G34" s="44" t="n"/>
      <c r="H34" s="44" t="n"/>
    </row>
    <row r="35" ht="26" customHeight="1">
      <c r="A35" s="42" t="inlineStr">
        <is>
          <t>3.2.2</t>
        </is>
      </c>
      <c r="B35" s="43" t="inlineStr">
        <is>
          <t>Up to 120 network endpoints to the compute-fabric HSN</t>
        </is>
      </c>
      <c r="C35" s="44" t="n"/>
      <c r="D35" s="44" t="n"/>
      <c r="E35" s="44" t="n"/>
      <c r="F35" s="44" t="n"/>
      <c r="G35" s="44" t="n"/>
      <c r="H35" s="44" t="n"/>
    </row>
    <row r="36" ht="26" customHeight="1">
      <c r="A36" s="42" t="inlineStr">
        <is>
          <t>3.2.2</t>
        </is>
      </c>
      <c r="B36" s="43" t="inlineStr">
        <is>
          <t>Between 150 PB and 250 PB usable space</t>
        </is>
      </c>
      <c r="C36" s="44" t="n"/>
      <c r="D36" s="44" t="n"/>
      <c r="E36" s="44" t="n"/>
      <c r="F36" s="44" t="n"/>
      <c r="G36" s="44" t="n"/>
      <c r="H36" s="44" t="n"/>
    </row>
    <row r="37" ht="26" customHeight="1">
      <c r="A37" s="42" t="inlineStr">
        <is>
          <t>3.2.3</t>
        </is>
      </c>
      <c r="B37" s="43" t="inlineStr">
        <is>
          <t>Data path and control plane do not require container orchestrators (preference)</t>
        </is>
      </c>
      <c r="C37" s="44" t="n"/>
      <c r="D37" s="44" t="n"/>
      <c r="E37" s="44" t="n"/>
      <c r="F37" s="44" t="n"/>
      <c r="G37" s="44" t="n"/>
      <c r="H37" s="44" t="n"/>
    </row>
    <row r="38" ht="26" customHeight="1">
      <c r="A38" s="42" t="inlineStr">
        <is>
          <t>4</t>
        </is>
      </c>
      <c r="B38" s="43" t="inlineStr">
        <is>
          <t>Namespace, per-SSU and per-component bandwidth, IOPS and latency; block and client level</t>
        </is>
      </c>
      <c r="C38" s="44" t="n"/>
      <c r="D38" s="44" t="n"/>
      <c r="E38" s="44" t="n"/>
      <c r="F38" s="44" t="n"/>
      <c r="G38" s="44" t="n"/>
      <c r="H38" s="44" t="n"/>
    </row>
    <row r="39" ht="26" customHeight="1">
      <c r="A39" s="42" t="inlineStr">
        <is>
          <t>4</t>
        </is>
      </c>
      <c r="B39" s="43" t="inlineStr">
        <is>
          <t>Complete test parameters, configurations and methodologies disclosed</t>
        </is>
      </c>
      <c r="C39" s="44" t="n"/>
      <c r="D39" s="44" t="n"/>
      <c r="E39" s="44" t="n"/>
      <c r="F39" s="44" t="n"/>
      <c r="G39" s="44" t="n"/>
      <c r="H39" s="44" t="n"/>
    </row>
    <row r="40" ht="26" customHeight="1">
      <c r="A40" s="42" t="inlineStr">
        <is>
          <t>4.2</t>
        </is>
      </c>
      <c r="B40" s="43" t="inlineStr">
        <is>
          <t>Acceptance against a namespace artificially aged to ~70% utilization</t>
        </is>
      </c>
      <c r="C40" s="44" t="n"/>
      <c r="D40" s="44" t="n"/>
      <c r="E40" s="44" t="n"/>
      <c r="F40" s="44" t="n"/>
      <c r="G40" s="44" t="n"/>
      <c r="H40" s="44" t="n"/>
    </row>
    <row r="41" ht="26" customHeight="1">
      <c r="A41" s="42" t="inlineStr">
        <is>
          <t>4.2</t>
        </is>
      </c>
      <c r="B41" s="43" t="inlineStr">
        <is>
          <t>End-to-end network bandwidth testing</t>
        </is>
      </c>
      <c r="C41" s="44" t="n"/>
      <c r="D41" s="44" t="n"/>
      <c r="E41" s="44" t="n"/>
      <c r="F41" s="44" t="n"/>
      <c r="G41" s="44" t="n"/>
      <c r="H41" s="44" t="n"/>
    </row>
    <row r="42" ht="26" customHeight="1">
      <c r="A42" s="42" t="inlineStr">
        <is>
          <t>4.2</t>
        </is>
      </c>
      <c r="B42" s="43" t="inlineStr">
        <is>
          <t>IOR and mdtest compared against published specifications</t>
        </is>
      </c>
      <c r="C42" s="44" t="n"/>
      <c r="D42" s="44" t="n"/>
      <c r="E42" s="44" t="n"/>
      <c r="F42" s="44" t="n"/>
      <c r="G42" s="44" t="n"/>
      <c r="H42" s="44" t="n"/>
    </row>
    <row r="43" ht="26" customHeight="1">
      <c r="A43" s="42" t="inlineStr">
        <is>
          <t>4.2</t>
        </is>
      </c>
      <c r="B43" s="43" t="inlineStr">
        <is>
          <t>Redundancy, fault tolerance and peripheral/torque validation</t>
        </is>
      </c>
      <c r="C43" s="44" t="n"/>
      <c r="D43" s="44" t="n"/>
      <c r="E43" s="44" t="n"/>
      <c r="F43" s="44" t="n"/>
      <c r="G43" s="44" t="n"/>
      <c r="H43" s="44" t="n"/>
    </row>
    <row r="44" ht="26" customHeight="1">
      <c r="A44" s="42" t="inlineStr">
        <is>
          <t>5</t>
        </is>
      </c>
      <c r="B44" s="43" t="inlineStr">
        <is>
          <t>Quarterly system updates and security patches at minimum</t>
        </is>
      </c>
      <c r="C44" s="44" t="n"/>
      <c r="D44" s="44" t="n"/>
      <c r="E44" s="44" t="n"/>
      <c r="F44" s="44" t="n"/>
      <c r="G44" s="44" t="n"/>
      <c r="H44" s="44" t="n"/>
    </row>
    <row r="45" ht="26" customHeight="1">
      <c r="A45" s="42" t="inlineStr">
        <is>
          <t>5.1</t>
        </is>
      </c>
      <c r="B45" s="43" t="inlineStr">
        <is>
          <t>Four-year maintenance base, with 5th-year, 6th-year and deferred options</t>
        </is>
      </c>
      <c r="C45" s="44" t="n"/>
      <c r="D45" s="44" t="n"/>
      <c r="E45" s="44" t="n"/>
      <c r="F45" s="44" t="n"/>
      <c r="G45" s="44" t="n"/>
      <c r="H45" s="44" t="n"/>
    </row>
    <row r="46" ht="26" customHeight="1">
      <c r="A46" s="42" t="inlineStr">
        <is>
          <t>5.2</t>
        </is>
      </c>
      <c r="B46" s="43" t="inlineStr">
        <is>
          <t>On-site parts cache sustaining two weeks of repairs with no refresh, incl. hot spare nodes</t>
        </is>
      </c>
      <c r="C46" s="44" t="n"/>
      <c r="D46" s="44" t="n"/>
      <c r="E46" s="44" t="n"/>
      <c r="F46" s="44" t="n"/>
      <c r="G46" s="44" t="n"/>
      <c r="H46" s="44" t="n"/>
    </row>
    <row r="47" ht="26" customHeight="1">
      <c r="A47" s="42" t="inlineStr">
        <is>
          <t>5.3</t>
        </is>
      </c>
      <c r="B47" s="43" t="inlineStr">
        <is>
          <t>No hardware leaves the site — destroyed by the Company</t>
        </is>
      </c>
      <c r="C47" s="44" t="n"/>
      <c r="D47" s="44" t="n"/>
      <c r="E47" s="44" t="n"/>
      <c r="F47" s="44" t="n"/>
      <c r="G47" s="44" t="n"/>
      <c r="H47" s="44" t="n"/>
    </row>
    <row r="48" ht="26" customHeight="1">
      <c r="A48" s="42" t="inlineStr">
        <is>
          <t>5.4</t>
        </is>
      </c>
      <c r="B48" s="43" t="inlineStr">
        <is>
          <t>All licenses provided: RHEL, file system, and HA functionality</t>
        </is>
      </c>
      <c r="C48" s="44" t="n"/>
      <c r="D48" s="44" t="n"/>
      <c r="E48" s="44" t="n"/>
      <c r="F48" s="44" t="n"/>
      <c r="G48" s="44" t="n"/>
      <c r="H48" s="44" t="n"/>
    </row>
    <row r="49" ht="26" customHeight="1">
      <c r="A49" s="42" t="inlineStr">
        <is>
          <t>5.5</t>
        </is>
      </c>
      <c r="B49" s="43" t="inlineStr">
        <is>
          <t>On-site System Software Analyst with DOE Q-clearance, separately priced</t>
        </is>
      </c>
      <c r="C49" s="44" t="n"/>
      <c r="D49" s="44" t="n"/>
      <c r="E49" s="44" t="n"/>
      <c r="F49" s="44" t="n"/>
      <c r="G49" s="44" t="n"/>
      <c r="H49" s="44" t="n"/>
    </row>
    <row r="50" ht="26" customHeight="1">
      <c r="A50" s="42" t="inlineStr">
        <is>
          <t>5.6</t>
        </is>
      </c>
      <c r="B50" s="43" t="inlineStr">
        <is>
          <t>Interface documentation, procedures and drawings</t>
        </is>
      </c>
      <c r="C50" s="44" t="n"/>
      <c r="D50" s="44" t="n"/>
      <c r="E50" s="44" t="n"/>
      <c r="F50" s="44" t="n"/>
      <c r="G50" s="44" t="n"/>
      <c r="H50" s="44" t="n"/>
    </row>
    <row r="51" ht="26" customHeight="1">
      <c r="A51" s="42" t="inlineStr">
        <is>
          <t>6</t>
        </is>
      </c>
      <c r="B51" s="43" t="inlineStr">
        <is>
          <t>Delivery, installation and integration; handling and disposition of all materials</t>
        </is>
      </c>
      <c r="C51" s="44" t="n"/>
      <c r="D51" s="44" t="n"/>
      <c r="E51" s="44" t="n"/>
      <c r="F51" s="44" t="n"/>
      <c r="G51" s="44" t="n"/>
      <c r="H51" s="44" t="n"/>
    </row>
    <row r="52" ht="26" customHeight="1">
      <c r="A52" s="42" t="inlineStr">
        <is>
          <t>7</t>
        </is>
      </c>
      <c r="B52" s="43" t="inlineStr">
        <is>
          <t>17 x 600 mm racks (16 production + 1 TDS), 50U, overhead connectivity only, no raised floor</t>
        </is>
      </c>
      <c r="C52" s="44" t="n"/>
      <c r="D52" s="44" t="n"/>
      <c r="E52" s="44" t="n"/>
      <c r="F52" s="44" t="n"/>
      <c r="G52" s="44" t="n"/>
      <c r="H52" s="44" t="n"/>
    </row>
    <row r="53" ht="26" customHeight="1">
      <c r="A53" s="42" t="inlineStr">
        <is>
          <t>7</t>
        </is>
      </c>
      <c r="B53" s="43" t="inlineStr">
        <is>
          <t>Cluster management and 5300-DC TDS in separate cabinets within the space limit</t>
        </is>
      </c>
      <c r="C53" s="44" t="n"/>
      <c r="D53" s="44" t="n"/>
      <c r="E53" s="44" t="n"/>
      <c r="F53" s="44" t="n"/>
      <c r="G53" s="44" t="n"/>
      <c r="H53" s="44" t="n"/>
    </row>
    <row r="54" ht="26" customHeight="1">
      <c r="A54" s="42" t="inlineStr">
        <is>
          <t>7.1</t>
        </is>
      </c>
      <c r="B54" s="43" t="inlineStr">
        <is>
          <t>3-phase 60 A 208 VAC IEC60309, dual-fed diverse (utility + UPS)</t>
        </is>
      </c>
      <c r="C54" s="44" t="n"/>
      <c r="D54" s="44" t="n"/>
      <c r="E54" s="44" t="n"/>
      <c r="F54" s="44" t="n"/>
      <c r="G54" s="44" t="n"/>
      <c r="H54" s="44" t="n"/>
    </row>
    <row r="55" ht="26" customHeight="1">
      <c r="A55" s="42" t="inlineStr">
        <is>
          <t>7.1</t>
        </is>
      </c>
      <c r="B55" s="43" t="inlineStr">
        <is>
          <t>Non-pocket in-rack PDUs: port-switchable, monitorable, watertight sleeve, outlet locking</t>
        </is>
      </c>
      <c r="C55" s="44" t="n"/>
      <c r="D55" s="44" t="n"/>
      <c r="E55" s="44" t="n"/>
      <c r="F55" s="44" t="n"/>
      <c r="G55" s="44" t="n"/>
      <c r="H55" s="44" t="n"/>
    </row>
    <row r="56" ht="26" customHeight="1">
      <c r="A56" s="42" t="inlineStr">
        <is>
          <t>7.1</t>
        </is>
      </c>
      <c r="B56" s="43" t="inlineStr">
        <is>
          <t>Total power not to exceed 275 kW</t>
        </is>
      </c>
      <c r="C56" s="44" t="n"/>
      <c r="D56" s="44" t="n"/>
      <c r="E56" s="44" t="n"/>
      <c r="F56" s="44" t="n"/>
      <c r="G56" s="44" t="n"/>
      <c r="H56" s="44" t="n"/>
    </row>
    <row r="57" ht="26" customHeight="1">
      <c r="A57" s="42" t="inlineStr">
        <is>
          <t>7.2</t>
        </is>
      </c>
      <c r="B57" s="43" t="inlineStr">
        <is>
          <t>RDHX per cabinet: top-fed, fail-closed valves, 1in sanitary connections</t>
        </is>
      </c>
      <c r="C57" s="44" t="n"/>
      <c r="D57" s="44" t="n"/>
      <c r="E57" s="44" t="n"/>
      <c r="F57" s="44" t="n"/>
      <c r="G57" s="44" t="n"/>
      <c r="H57" s="44" t="n"/>
    </row>
    <row r="58" ht="26" customHeight="1">
      <c r="A58" s="42" t="inlineStr">
        <is>
          <t>7.2</t>
        </is>
      </c>
      <c r="B58" s="43" t="inlineStr">
        <is>
          <t>RDHX flow &lt;= 11 gpm each, supply water 60–68 F, room neutral at 75 F rack inlet</t>
        </is>
      </c>
      <c r="C58" s="44" t="n"/>
      <c r="D58" s="44" t="n"/>
      <c r="E58" s="44" t="n"/>
      <c r="F58" s="44" t="n"/>
      <c r="G58" s="44" t="n"/>
      <c r="H58" s="44" t="n"/>
    </row>
    <row r="59" ht="26" customHeight="1">
      <c r="A59" s="42" t="inlineStr">
        <is>
          <t>7.2</t>
        </is>
      </c>
      <c r="B59" s="43" t="inlineStr">
        <is>
          <t>BACnet/IP monitoring; rack-level leak detection with shut-down capability</t>
        </is>
      </c>
      <c r="C59" s="44" t="n"/>
      <c r="D59" s="44" t="n"/>
      <c r="E59" s="44" t="n"/>
      <c r="F59" s="44" t="n"/>
      <c r="G59" s="44" t="n"/>
      <c r="H59" s="44" t="n"/>
    </row>
    <row r="60" ht="26" customHeight="1">
      <c r="A60" s="42" t="inlineStr">
        <is>
          <t>7.2</t>
        </is>
      </c>
      <c r="B60" s="43" t="inlineStr">
        <is>
          <t>Check valve on return, control valve on supply; &lt;5% parasitic heat during maintenance</t>
        </is>
      </c>
      <c r="C60" s="44" t="n"/>
      <c r="D60" s="44" t="n"/>
      <c r="E60" s="44" t="n"/>
      <c r="F60" s="44" t="n"/>
      <c r="G60" s="44" t="n"/>
      <c r="H60" s="44" t="n"/>
    </row>
    <row r="61" ht="26" customHeight="1">
      <c r="A61" s="42" t="inlineStr">
        <is>
          <t>7.2</t>
        </is>
      </c>
      <c r="B61" s="43" t="inlineStr">
        <is>
          <t>Offeror delivers, uncrates, stages, mounts and connects RDHXs and removes packaging</t>
        </is>
      </c>
      <c r="C61" s="44" t="n"/>
      <c r="D61" s="44" t="n"/>
      <c r="E61" s="44" t="n"/>
      <c r="F61" s="44" t="n"/>
      <c r="G61" s="44" t="n"/>
      <c r="H61" s="44" t="n"/>
    </row>
    <row r="62" ht="26" customHeight="1">
      <c r="A62" s="42" t="inlineStr">
        <is>
          <t>8.2</t>
        </is>
      </c>
      <c r="B62" s="43" t="inlineStr">
        <is>
          <t>Executive Liaison and Technical Project Manager identified</t>
        </is>
      </c>
      <c r="C62" s="44" t="n"/>
      <c r="D62" s="44" t="n"/>
      <c r="E62" s="44" t="n"/>
      <c r="F62" s="44" t="n"/>
      <c r="G62" s="44" t="n"/>
      <c r="H62" s="44" t="n"/>
    </row>
    <row r="63" ht="26" customHeight="1">
      <c r="A63" s="42" t="inlineStr">
        <is>
          <t>8.2</t>
        </is>
      </c>
      <c r="B63" s="43" t="inlineStr">
        <is>
          <t>Delivery/installation/integration/acceptance schedule aligned to §1 milestones</t>
        </is>
      </c>
      <c r="C63" s="44" t="n"/>
      <c r="D63" s="44" t="n"/>
      <c r="E63" s="44" t="n"/>
      <c r="F63" s="44" t="n"/>
      <c r="G63" s="44" t="n"/>
      <c r="H63" s="44" t="n"/>
    </row>
    <row r="64" ht="26" customHeight="1">
      <c r="A64" s="42" t="inlineStr">
        <is>
          <t>8.3</t>
        </is>
      </c>
      <c r="B64" s="43" t="inlineStr">
        <is>
          <t>Site Preparation Plan within 30 days of award</t>
        </is>
      </c>
      <c r="C64" s="44" t="n"/>
      <c r="D64" s="44" t="n"/>
      <c r="E64" s="44" t="n"/>
      <c r="F64" s="44" t="n"/>
      <c r="G64" s="44" t="n"/>
      <c r="H64" s="44" t="n"/>
    </row>
    <row r="65" ht="26" customHeight="1">
      <c r="A65" s="42" t="inlineStr">
        <is>
          <t>8.4</t>
        </is>
      </c>
      <c r="B65" s="43" t="inlineStr">
        <is>
          <t>Maintenance &amp; Support Plan at least 30 days before first delivery</t>
        </is>
      </c>
      <c r="C65" s="44" t="n"/>
      <c r="D65" s="44" t="n"/>
      <c r="E65" s="44" t="n"/>
      <c r="F65" s="44" t="n"/>
      <c r="G65" s="44" t="n"/>
      <c r="H65" s="44" t="n"/>
    </row>
    <row r="66" ht="26" customHeight="1">
      <c r="A66" s="42" t="inlineStr">
        <is>
          <t>8.5</t>
        </is>
      </c>
      <c r="B66" s="43" t="inlineStr">
        <is>
          <t>Acceptance: hardware phase, functionality walk-through, performance test, stability test</t>
        </is>
      </c>
      <c r="C66" s="44" t="n"/>
      <c r="D66" s="44" t="n"/>
      <c r="E66" s="44" t="n"/>
      <c r="F66" s="44" t="n"/>
      <c r="G66" s="44" t="n"/>
      <c r="H66" s="44" t="n"/>
    </row>
    <row r="67" ht="26" customHeight="1">
      <c r="A67" s="42" t="inlineStr">
        <is>
          <t>8.5</t>
        </is>
      </c>
      <c r="B67" s="43" t="inlineStr">
        <is>
          <t>Benchmarks executable from a non-privileged account</t>
        </is>
      </c>
      <c r="C67" s="44" t="n"/>
      <c r="D67" s="44" t="n"/>
      <c r="E67" s="44" t="n"/>
      <c r="F67" s="44" t="n"/>
      <c r="G67" s="44" t="n"/>
      <c r="H67" s="44" t="n"/>
    </row>
    <row r="69">
      <c r="B69" s="24" t="inlineStr">
        <is>
          <t>Enter exactly 'Comply', 'Exception', or 'Alternative' in column C. §3 requires that every Exception carry a discrepancy description, a justification, and a proposed mitigation or alternative — columns E and F are mandatory for those rows.</t>
        </is>
      </c>
    </row>
    <row r="70"/>
  </sheetData>
  <mergeCells count="1">
    <mergeCell ref="B69:F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2026-07-28T13:03:19Z</dcterms:created>
  <dcterms:modified xsi:type="dcterms:W3CDTF">2026-07-28T13:03:19Z</dcterms:modified>
</cp:coreProperties>
</file>